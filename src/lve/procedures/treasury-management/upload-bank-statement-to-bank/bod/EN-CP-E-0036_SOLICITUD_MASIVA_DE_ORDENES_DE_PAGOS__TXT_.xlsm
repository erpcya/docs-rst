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macrosheets/sheet2.xml" ContentType="application/vnd.ms-excel.macrosheet+xml"/>
  <Override PartName="/xl/macrosheets/sheet3.xml" ContentType="application/vnd.ms-excel.macrosheet+xml"/>
  <Override PartName="/xl/macrosheets/sheet4.xml" ContentType="application/vnd.ms-excel.macrosheet+xml"/>
  <Override PartName="/xl/macrosheets/sheet5.xml" ContentType="application/vnd.ms-excel.macrosheet+xml"/>
  <Override PartName="/xl/macrosheets/sheet6.xml" ContentType="application/vnd.ms-excel.macrosheet+xml"/>
  <Override PartName="/xl/macrosheets/sheet7.xml" ContentType="application/vnd.ms-excel.macrosheet+xml"/>
  <Override PartName="/xl/macrosheets/sheet8.xml" ContentType="application/vnd.ms-excel.macrosheet+xml"/>
  <Override PartName="/xl/macrosheets/sheet9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tables/table2.xml" ContentType="application/vnd.openxmlformats-officedocument.spreadsheetml.table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trlProps/ctrlProp2.xml" ContentType="application/vnd.ms-excel.controlproperties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LL100\Desktop\"/>
    </mc:Choice>
  </mc:AlternateContent>
  <xr:revisionPtr revIDLastSave="0" documentId="8_{386B069E-EA86-4AF4-BE5C-8286F293718B}" xr6:coauthVersionLast="47" xr6:coauthVersionMax="47" xr10:uidLastSave="{00000000-0000-0000-0000-000000000000}"/>
  <bookViews>
    <workbookView showSheetTabs="0" xWindow="-120" yWindow="-120" windowWidth="19440" windowHeight="15000" tabRatio="813" firstSheet="9" activeTab="11" xr2:uid="{00000000-000D-0000-FFFF-FFFF00000000}"/>
  </bookViews>
  <sheets>
    <sheet name="Macro9" sheetId="16" state="hidden" r:id="rId1"/>
    <sheet name="Macro8" sheetId="15" state="hidden" r:id="rId2"/>
    <sheet name="Macro7" sheetId="14" state="hidden" r:id="rId3"/>
    <sheet name="Macro6" sheetId="13" state="hidden" r:id="rId4"/>
    <sheet name="Macro5" sheetId="12" state="hidden" r:id="rId5"/>
    <sheet name="Macro4" sheetId="11" state="hidden" r:id="rId6"/>
    <sheet name="Macro3" sheetId="10" state="hidden" r:id="rId7"/>
    <sheet name="Macro2" sheetId="9" state="hidden" r:id="rId8"/>
    <sheet name="Macro1" sheetId="8" state="hidden" r:id="rId9"/>
    <sheet name="Menu" sheetId="25" r:id="rId10"/>
    <sheet name="Menu2" sheetId="24" state="hidden" r:id="rId11"/>
    <sheet name="Ordenes de Pago" sheetId="1" r:id="rId12"/>
    <sheet name="Resp_Ordenes de Pago" sheetId="21" state="veryHidden" r:id="rId13"/>
    <sheet name="Beneficiarios de Pago" sheetId="18" r:id="rId14"/>
    <sheet name="Resp_Beneficiarios de Pago" sheetId="20" state="veryHidden" r:id="rId15"/>
    <sheet name="Hoja2" sheetId="4" state="hidden" r:id="rId16"/>
    <sheet name="Ayuda1" sheetId="6" state="hidden" r:id="rId17"/>
    <sheet name="Ayuda" sheetId="22" r:id="rId18"/>
    <sheet name="BANCOS" sheetId="7" r:id="rId19"/>
    <sheet name="Macros" sheetId="5" state="hidden" r:id="rId20"/>
    <sheet name="BANCOSB" sheetId="26" r:id="rId21"/>
    <sheet name="Hoja3" sheetId="23" state="hidden" r:id="rId22"/>
    <sheet name="Ayuda_Benef" sheetId="19" r:id="rId23"/>
  </sheets>
  <functionGroups builtInGroupCount="19"/>
  <externalReferences>
    <externalReference r:id="rId24"/>
    <externalReference r:id="rId25"/>
    <externalReference r:id="rId26"/>
  </externalReferences>
  <definedNames>
    <definedName name="_xlnm._FilterDatabase" localSheetId="14" hidden="1">'Resp_Beneficiarios de Pago'!$A$9:$V$32</definedName>
    <definedName name="_xlnm._FilterDatabase" localSheetId="12" hidden="1">'Resp_Ordenes de Pago'!$A$12:$W$33</definedName>
    <definedName name="_Null" localSheetId="9">[1]Hoja2!$G$2</definedName>
    <definedName name="_Null">Hoja2!$G$2</definedName>
    <definedName name="ANTICIPOAYUDA" localSheetId="17">Ayuda!$A$36</definedName>
    <definedName name="ANTICIPOAYUDA" localSheetId="22">Ayuda_Benef!#REF!</definedName>
    <definedName name="ANTICIPOAYUDA">Ayuda1!$A$39</definedName>
    <definedName name="APORTEAYUDA" localSheetId="17">Ayuda!$A$12</definedName>
    <definedName name="APORTEAYUDA" localSheetId="22">Ayuda_Benef!$A$12</definedName>
    <definedName name="APORTEAYUDA">Ayuda1!$A$15</definedName>
    <definedName name="_xlnm.Print_Area" localSheetId="13">'Beneficiarios de Pago'!$A$3:$S$30</definedName>
    <definedName name="_xlnm.Print_Area" localSheetId="11">'Ordenes de Pago'!$A$3:$V$20</definedName>
    <definedName name="_xlnm.Print_Area" localSheetId="14">'Resp_Beneficiarios de Pago'!$A$3:$V$29</definedName>
    <definedName name="_xlnm.Print_Area" localSheetId="12">'Resp_Ordenes de Pago'!$A$3:$R$30</definedName>
    <definedName name="Banco" localSheetId="9">Menu!$A$1</definedName>
    <definedName name="Banco">#REF!</definedName>
    <definedName name="Bancos" localSheetId="20">BANCOSB!$B$10:$B$40</definedName>
    <definedName name="Bancos" localSheetId="9">[1]BANCOS!$A$5:$A$35</definedName>
    <definedName name="Bancos">BANCOS!$B$10:$B$43</definedName>
    <definedName name="DESINCORPAYUDA" localSheetId="17">Ayuda!$A$72</definedName>
    <definedName name="DESINCORPAYUDA" localSheetId="22">Ayuda_Benef!$A$93</definedName>
    <definedName name="DESINCORPAYUDA">Ayuda1!$A$75</definedName>
    <definedName name="destino">[2]DESTINATARIO!$I$2:$I$3</definedName>
    <definedName name="INCORPORACIONAYUDA" localSheetId="17">Ayuda!$A$47</definedName>
    <definedName name="INCORPORACIONAYUDA" localSheetId="22">Ayuda_Benef!$A$69</definedName>
    <definedName name="INCORPORACIONAYUDA">Ayuda1!$A$50</definedName>
    <definedName name="Mod_bod" localSheetId="9">[1]Hoja2!$E$2:$E$8</definedName>
    <definedName name="Mod_bod">Hoja2!$E$2:$E$8</definedName>
    <definedName name="Modalidad" localSheetId="9">[1]Hoja2!$C$2:$C$9</definedName>
    <definedName name="Modalidad">Hoja2!$C$2:$C$9</definedName>
    <definedName name="N_line">Hoja2!$C$22</definedName>
    <definedName name="null">[3]Hoja1!$G$1:$G$2</definedName>
    <definedName name="num">[3]Hoja1!$H$1:$H$3</definedName>
    <definedName name="Operacion" localSheetId="9">[1]Hoja2!$I$2:$I$4</definedName>
    <definedName name="Operacion">Hoja2!$I$2:$I$4</definedName>
    <definedName name="Status_Benef" localSheetId="9">[1]Hoja2!$N$2:$N$4</definedName>
    <definedName name="Status_Benef">Hoja2!$N$2:$N$4</definedName>
    <definedName name="T_Persona" localSheetId="9">[1]Hoja2!$A$2:$A$8</definedName>
    <definedName name="T_Persona">Hoja2!$A$2:$A$8</definedName>
    <definedName name="Tipo_Persona_encabezado" localSheetId="9">[1]Hoja2!$L$2:$L$5</definedName>
    <definedName name="Tipo_Persona_encabezado">Hoja2!$L$2:$L$5</definedName>
  </definedNames>
  <calcPr calcId="191028"/>
</workbook>
</file>

<file path=xl/calcChain.xml><?xml version="1.0" encoding="utf-8"?>
<calcChain xmlns="http://schemas.openxmlformats.org/spreadsheetml/2006/main">
  <c r="I14" i="1" l="1"/>
  <c r="Y36" i="1"/>
  <c r="X36" i="1"/>
  <c r="I36" i="1"/>
  <c r="I15" i="1"/>
  <c r="I16" i="1"/>
  <c r="I17" i="1"/>
  <c r="I18" i="1"/>
  <c r="I19" i="1"/>
  <c r="I20" i="1"/>
  <c r="I21" i="1"/>
  <c r="I22" i="1"/>
  <c r="I23" i="1"/>
  <c r="I24" i="1"/>
  <c r="I25" i="1"/>
  <c r="I26" i="1"/>
  <c r="Y35" i="1"/>
  <c r="X35" i="1"/>
  <c r="I35" i="1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13" i="18"/>
  <c r="I27" i="1"/>
  <c r="I28" i="1"/>
  <c r="I29" i="1"/>
  <c r="I30" i="1"/>
  <c r="I31" i="1"/>
  <c r="I32" i="1"/>
  <c r="I33" i="1"/>
  <c r="I34" i="1"/>
  <c r="Y38" i="1"/>
  <c r="X38" i="1"/>
  <c r="Y37" i="1"/>
  <c r="X37" i="1"/>
  <c r="Y34" i="1"/>
  <c r="X34" i="1"/>
  <c r="Y28" i="1"/>
  <c r="X28" i="1"/>
  <c r="Y29" i="1"/>
  <c r="X29" i="1"/>
  <c r="Y30" i="1"/>
  <c r="X30" i="1"/>
  <c r="Y31" i="1"/>
  <c r="X31" i="1"/>
  <c r="Y32" i="1"/>
  <c r="X32" i="1"/>
  <c r="Y33" i="1"/>
  <c r="X33" i="1"/>
  <c r="T17" i="1"/>
  <c r="T18" i="1"/>
  <c r="T19" i="1"/>
  <c r="T20" i="1"/>
  <c r="T21" i="1"/>
  <c r="T22" i="1"/>
  <c r="T23" i="1"/>
  <c r="T24" i="1"/>
  <c r="T25" i="1"/>
  <c r="T26" i="1"/>
  <c r="T27" i="1"/>
  <c r="Y27" i="1"/>
  <c r="X27" i="1"/>
  <c r="Y26" i="1"/>
  <c r="X26" i="1"/>
  <c r="Y25" i="1"/>
  <c r="X25" i="1"/>
  <c r="Y24" i="1"/>
  <c r="X24" i="1"/>
  <c r="Y23" i="1"/>
  <c r="X23" i="1"/>
  <c r="X10" i="1"/>
  <c r="Y22" i="1"/>
  <c r="X22" i="1"/>
  <c r="C26" i="4"/>
  <c r="C97" i="22"/>
  <c r="A92" i="22"/>
  <c r="A93" i="22"/>
  <c r="A94" i="22"/>
  <c r="A95" i="22"/>
  <c r="A96" i="22"/>
  <c r="C8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C67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C45" i="22"/>
  <c r="A40" i="22"/>
  <c r="A41" i="22"/>
  <c r="A42" i="22"/>
  <c r="A43" i="22"/>
  <c r="A44" i="22"/>
  <c r="C37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C20" i="22"/>
  <c r="A11" i="22"/>
  <c r="A12" i="22"/>
  <c r="A13" i="22"/>
  <c r="A14" i="22"/>
  <c r="A15" i="22"/>
  <c r="A16" i="22"/>
  <c r="A17" i="22"/>
  <c r="A18" i="22"/>
  <c r="A19" i="22"/>
  <c r="H9" i="1"/>
  <c r="I9" i="1"/>
  <c r="Y21" i="1"/>
  <c r="X21" i="1"/>
  <c r="A15" i="19"/>
  <c r="A16" i="19"/>
  <c r="A17" i="19"/>
  <c r="A18" i="19"/>
  <c r="A19" i="19"/>
  <c r="A20" i="19"/>
  <c r="A21" i="19"/>
  <c r="A22" i="19"/>
  <c r="A23" i="19"/>
  <c r="A24" i="19"/>
  <c r="A25" i="19"/>
  <c r="A26" i="19"/>
  <c r="C27" i="19"/>
  <c r="A30" i="19"/>
  <c r="A31" i="19"/>
  <c r="A32" i="19"/>
  <c r="A33" i="19"/>
  <c r="C34" i="19"/>
  <c r="A45" i="19"/>
  <c r="A46" i="19"/>
  <c r="A47" i="19"/>
  <c r="A48" i="19"/>
  <c r="A49" i="19"/>
  <c r="A50" i="19"/>
  <c r="A51" i="19"/>
  <c r="A52" i="19"/>
  <c r="A53" i="19"/>
  <c r="A54" i="19"/>
  <c r="A55" i="19"/>
  <c r="A56" i="19"/>
  <c r="A57" i="19"/>
  <c r="A58" i="19"/>
  <c r="A59" i="19"/>
  <c r="A60" i="19"/>
  <c r="C61" i="19"/>
  <c r="A64" i="19"/>
  <c r="A65" i="19"/>
  <c r="A66" i="19"/>
  <c r="A67" i="19"/>
  <c r="C68" i="19"/>
  <c r="A14" i="6"/>
  <c r="A15" i="6"/>
  <c r="A16" i="6"/>
  <c r="A17" i="6"/>
  <c r="A18" i="6"/>
  <c r="A19" i="6"/>
  <c r="A20" i="6"/>
  <c r="A21" i="6"/>
  <c r="A22" i="6"/>
  <c r="C23" i="6"/>
  <c r="A26" i="6"/>
  <c r="A28" i="6"/>
  <c r="A29" i="6"/>
  <c r="A30" i="6"/>
  <c r="A31" i="6"/>
  <c r="A32" i="6"/>
  <c r="A33" i="6"/>
  <c r="A34" i="6"/>
  <c r="A35" i="6"/>
  <c r="A36" i="6"/>
  <c r="A37" i="6"/>
  <c r="A38" i="6"/>
  <c r="A39" i="6"/>
  <c r="C40" i="6"/>
  <c r="A43" i="6"/>
  <c r="A44" i="6"/>
  <c r="A45" i="6"/>
  <c r="A46" i="6"/>
  <c r="A47" i="6"/>
  <c r="C48" i="6"/>
  <c r="A58" i="6"/>
  <c r="A59" i="6"/>
  <c r="A60" i="6"/>
  <c r="A61" i="6"/>
  <c r="A62" i="6"/>
  <c r="A63" i="6"/>
  <c r="A64" i="6"/>
  <c r="A65" i="6"/>
  <c r="A66" i="6"/>
  <c r="A67" i="6"/>
  <c r="A68" i="6"/>
  <c r="A69" i="6"/>
  <c r="C70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4" i="6"/>
  <c r="A95" i="6"/>
  <c r="A96" i="6"/>
  <c r="A97" i="6"/>
  <c r="A98" i="6"/>
  <c r="C99" i="6"/>
  <c r="C16" i="4"/>
  <c r="C17" i="4"/>
  <c r="C19" i="4"/>
  <c r="C20" i="4"/>
  <c r="X13" i="18"/>
  <c r="W13" i="18"/>
  <c r="X14" i="18"/>
  <c r="W14" i="18"/>
  <c r="X15" i="18"/>
  <c r="W15" i="18"/>
  <c r="X16" i="18"/>
  <c r="W16" i="18"/>
  <c r="X17" i="18"/>
  <c r="W17" i="18"/>
  <c r="X18" i="18"/>
  <c r="W18" i="18"/>
  <c r="X19" i="18"/>
  <c r="W19" i="18"/>
  <c r="X20" i="18"/>
  <c r="W20" i="18"/>
  <c r="X21" i="18"/>
  <c r="W21" i="18"/>
  <c r="X22" i="18"/>
  <c r="W22" i="18"/>
  <c r="X23" i="18"/>
  <c r="W23" i="18"/>
  <c r="X24" i="18"/>
  <c r="W24" i="18"/>
  <c r="X25" i="18"/>
  <c r="W25" i="18"/>
  <c r="X26" i="18"/>
  <c r="W26" i="18"/>
  <c r="X27" i="18"/>
  <c r="W27" i="18"/>
  <c r="X28" i="18"/>
  <c r="W28" i="18"/>
  <c r="X29" i="18"/>
  <c r="W29" i="18"/>
  <c r="X30" i="18"/>
  <c r="W30" i="18"/>
  <c r="X31" i="18"/>
  <c r="W31" i="18"/>
  <c r="X32" i="18"/>
  <c r="W32" i="18"/>
  <c r="X33" i="18"/>
  <c r="W33" i="18"/>
  <c r="X34" i="18"/>
  <c r="W34" i="18"/>
  <c r="X35" i="18"/>
  <c r="W35" i="18"/>
  <c r="X36" i="18"/>
  <c r="W36" i="18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Y14" i="1"/>
  <c r="X14" i="1"/>
  <c r="Y15" i="1"/>
  <c r="X15" i="1"/>
  <c r="Y16" i="1"/>
  <c r="X16" i="1"/>
  <c r="Y17" i="1"/>
  <c r="X17" i="1"/>
  <c r="Y18" i="1"/>
  <c r="X18" i="1"/>
  <c r="Y19" i="1"/>
  <c r="X19" i="1"/>
  <c r="Y20" i="1"/>
  <c r="X2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mleon</author>
  </authors>
  <commentList>
    <comment ref="Y14" authorId="0" shapeId="0" xr:uid="{00000000-0006-0000-0B00-000001000000}">
      <text>
        <r>
          <rPr>
            <b/>
            <sz val="8"/>
            <color indexed="81"/>
            <rFont val="Tahoma"/>
            <family val="2"/>
          </rPr>
          <t>valida que el campo cod. Banco, esté lleno cuando corresponda.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mleon</author>
  </authors>
  <commentList>
    <comment ref="W13" authorId="0" shapeId="0" xr:uid="{00000000-0006-0000-0D00-000001000000}">
      <text>
        <r>
          <rPr>
            <b/>
            <sz val="8"/>
            <color indexed="81"/>
            <rFont val="Tahoma"/>
            <family val="2"/>
          </rPr>
          <t>valida que los campos de la fila esten llenos.</t>
        </r>
      </text>
    </comment>
    <comment ref="X13" authorId="0" shapeId="0" xr:uid="{00000000-0006-0000-0D00-000002000000}">
      <text>
        <r>
          <rPr>
            <b/>
            <sz val="8"/>
            <color indexed="81"/>
            <rFont val="Tahoma"/>
            <family val="2"/>
          </rPr>
          <t>valida que el campo cod. Banco, esté lleno cuando corresponda.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mleon</author>
  </authors>
  <commentList>
    <comment ref="A29" authorId="0" shapeId="0" xr:uid="{00000000-0006-0000-0F00-000001000000}">
      <text>
        <r>
          <rPr>
            <b/>
            <sz val="8"/>
            <color indexed="81"/>
            <rFont val="Tahoma"/>
            <family val="2"/>
          </rPr>
          <t>explicacion, cifras altas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mfigue</author>
  </authors>
  <commentList>
    <comment ref="D25" authorId="0" shapeId="0" xr:uid="{00000000-0006-0000-1000-000001000000}">
      <text>
        <r>
          <rPr>
            <b/>
            <sz val="8"/>
            <color indexed="81"/>
            <rFont val="Tahoma"/>
            <family val="2"/>
          </rPr>
          <t>mfigue:</t>
        </r>
        <r>
          <rPr>
            <sz val="8"/>
            <color indexed="81"/>
            <rFont val="Tahoma"/>
            <family val="2"/>
          </rPr>
          <t xml:space="preserve">
Debe ser numérico</t>
        </r>
      </text>
    </comment>
    <comment ref="D42" authorId="0" shapeId="0" xr:uid="{00000000-0006-0000-1000-000002000000}">
      <text>
        <r>
          <rPr>
            <b/>
            <sz val="8"/>
            <color indexed="81"/>
            <rFont val="Tahoma"/>
            <family val="2"/>
          </rPr>
          <t>mfigue:</t>
        </r>
        <r>
          <rPr>
            <sz val="8"/>
            <color indexed="81"/>
            <rFont val="Tahoma"/>
            <family val="2"/>
          </rPr>
          <t xml:space="preserve">
DEBE SER NUMÉRICO</t>
        </r>
      </text>
    </comment>
    <comment ref="D44" authorId="0" shapeId="0" xr:uid="{00000000-0006-0000-1000-000003000000}">
      <text>
        <r>
          <rPr>
            <b/>
            <sz val="8"/>
            <color indexed="81"/>
            <rFont val="Tahoma"/>
            <family val="2"/>
          </rPr>
          <t>mfigue:</t>
        </r>
        <r>
          <rPr>
            <sz val="8"/>
            <color indexed="81"/>
            <rFont val="Tahoma"/>
            <family val="2"/>
          </rPr>
          <t xml:space="preserve">
DEBE SER NUMÉRICO</t>
        </r>
      </text>
    </comment>
    <comment ref="D48" authorId="0" shapeId="0" xr:uid="{00000000-0006-0000-1000-000004000000}">
      <text>
        <r>
          <rPr>
            <b/>
            <sz val="8"/>
            <color indexed="81"/>
            <rFont val="Tahoma"/>
            <family val="2"/>
          </rPr>
          <t>mfigue:</t>
        </r>
        <r>
          <rPr>
            <sz val="8"/>
            <color indexed="81"/>
            <rFont val="Tahoma"/>
            <family val="2"/>
          </rPr>
          <t xml:space="preserve">
FALTA INCLUIR EL TIPO DE REGISTRO</t>
        </r>
      </text>
    </comment>
    <comment ref="D72" authorId="0" shapeId="0" xr:uid="{00000000-0006-0000-1000-000005000000}">
      <text>
        <r>
          <rPr>
            <b/>
            <sz val="8"/>
            <color indexed="81"/>
            <rFont val="Tahoma"/>
            <family val="2"/>
          </rPr>
          <t>mfigue:</t>
        </r>
        <r>
          <rPr>
            <sz val="8"/>
            <color indexed="81"/>
            <rFont val="Tahoma"/>
            <family val="2"/>
          </rPr>
          <t xml:space="preserve">
DEBE SER NUMÉRICO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mfigue</author>
  </authors>
  <commentList>
    <comment ref="D22" authorId="0" shapeId="0" xr:uid="{00000000-0006-0000-1100-000001000000}">
      <text>
        <r>
          <rPr>
            <b/>
            <sz val="8"/>
            <color indexed="81"/>
            <rFont val="Tahoma"/>
            <family val="2"/>
          </rPr>
          <t>mfigue:</t>
        </r>
        <r>
          <rPr>
            <sz val="8"/>
            <color indexed="81"/>
            <rFont val="Tahoma"/>
            <family val="2"/>
          </rPr>
          <t xml:space="preserve">
Debe ser numérico</t>
        </r>
      </text>
    </comment>
    <comment ref="D39" authorId="0" shapeId="0" xr:uid="{00000000-0006-0000-1100-000002000000}">
      <text>
        <r>
          <rPr>
            <b/>
            <sz val="8"/>
            <color indexed="81"/>
            <rFont val="Tahoma"/>
            <family val="2"/>
          </rPr>
          <t>mfigue:</t>
        </r>
        <r>
          <rPr>
            <sz val="8"/>
            <color indexed="81"/>
            <rFont val="Tahoma"/>
            <family val="2"/>
          </rPr>
          <t xml:space="preserve">
DEBE SER NUMÉRICO</t>
        </r>
      </text>
    </comment>
    <comment ref="D41" authorId="0" shapeId="0" xr:uid="{00000000-0006-0000-1100-000003000000}">
      <text>
        <r>
          <rPr>
            <b/>
            <sz val="8"/>
            <color indexed="81"/>
            <rFont val="Tahoma"/>
            <family val="2"/>
          </rPr>
          <t>mfigue:</t>
        </r>
        <r>
          <rPr>
            <sz val="8"/>
            <color indexed="81"/>
            <rFont val="Tahoma"/>
            <family val="2"/>
          </rPr>
          <t xml:space="preserve">
DEBE SER NUMÉRICO</t>
        </r>
      </text>
    </comment>
    <comment ref="D45" authorId="0" shapeId="0" xr:uid="{00000000-0006-0000-1100-000004000000}">
      <text>
        <r>
          <rPr>
            <b/>
            <sz val="8"/>
            <color indexed="81"/>
            <rFont val="Tahoma"/>
            <family val="2"/>
          </rPr>
          <t>mfigue:</t>
        </r>
        <r>
          <rPr>
            <sz val="8"/>
            <color indexed="81"/>
            <rFont val="Tahoma"/>
            <family val="2"/>
          </rPr>
          <t xml:space="preserve">
FALTA INCLUIR EL TIPO DE REGISTRO</t>
        </r>
      </text>
    </comment>
    <comment ref="D69" authorId="0" shapeId="0" xr:uid="{00000000-0006-0000-1100-000005000000}">
      <text>
        <r>
          <rPr>
            <b/>
            <sz val="8"/>
            <color indexed="81"/>
            <rFont val="Tahoma"/>
            <family val="2"/>
          </rPr>
          <t>mfigue:</t>
        </r>
        <r>
          <rPr>
            <sz val="8"/>
            <color indexed="81"/>
            <rFont val="Tahoma"/>
            <family val="2"/>
          </rPr>
          <t xml:space="preserve">
DEBE SER NUMÉRICO</t>
        </r>
      </text>
    </comment>
  </commentList>
</comments>
</file>

<file path=xl/sharedStrings.xml><?xml version="1.0" encoding="utf-8"?>
<sst xmlns="http://schemas.openxmlformats.org/spreadsheetml/2006/main" count="1519" uniqueCount="346">
  <si>
    <t>DESCRIPCIÓN DE LA OPERACIÓN:</t>
  </si>
  <si>
    <t>TIPO DE PERSONA:</t>
  </si>
  <si>
    <t>N° DE CONTRATO:</t>
  </si>
  <si>
    <t>N° DE LOTE / REF. DÉBITO:</t>
  </si>
  <si>
    <t>FECHA DE ENVÍO:</t>
  </si>
  <si>
    <t>RESUMEN DE LA OPERACIÓN</t>
  </si>
  <si>
    <t>CANT. DE REGISTROS:</t>
  </si>
  <si>
    <t>MONTO TOTAL DE LA OPERACIÓN:</t>
  </si>
  <si>
    <t>MONEDA:</t>
  </si>
  <si>
    <t>C.I. / R.I.F N°:</t>
  </si>
  <si>
    <t>NOMBRE COMPLETO / RAZÓN SOCIAL:</t>
  </si>
  <si>
    <t>REFERENCIA:</t>
  </si>
  <si>
    <t>DESCRIPCIÓN:</t>
  </si>
  <si>
    <t>CÓD. BANCO:</t>
  </si>
  <si>
    <t>FECHA VALOR:</t>
  </si>
  <si>
    <t xml:space="preserve"> MONTO:</t>
  </si>
  <si>
    <t>CORREO ELECTRÓNICO:</t>
  </si>
  <si>
    <t>N° DE TELEF. CELULAR:</t>
  </si>
  <si>
    <t>IMPUESTO RETENIDO:</t>
  </si>
  <si>
    <t>FECHA DE FACTURA:</t>
  </si>
  <si>
    <t>MONTO DE LA FACTURA:</t>
  </si>
  <si>
    <t>VEB</t>
  </si>
  <si>
    <t>Modalidad</t>
  </si>
  <si>
    <t>CTA</t>
  </si>
  <si>
    <t>BAN</t>
  </si>
  <si>
    <t>CHQ</t>
  </si>
  <si>
    <t>EFE</t>
  </si>
  <si>
    <t>TAR</t>
  </si>
  <si>
    <t>V/M</t>
  </si>
  <si>
    <t>MODALIDAD DE PAGO:</t>
  </si>
  <si>
    <t>DATOS DE LA OPERACIÓN</t>
  </si>
  <si>
    <t>Tipo Persona</t>
  </si>
  <si>
    <t>V</t>
  </si>
  <si>
    <t>E</t>
  </si>
  <si>
    <t>P</t>
  </si>
  <si>
    <t>J</t>
  </si>
  <si>
    <t>G</t>
  </si>
  <si>
    <t>TIPO PERS.:</t>
  </si>
  <si>
    <t>N° DE FACTURA ASOCIADO:</t>
  </si>
  <si>
    <t>SOLICITUD MASIVA DE ORDENES DE PAGOS</t>
  </si>
  <si>
    <t>Variables</t>
  </si>
  <si>
    <t>Linea de Finaliz.</t>
  </si>
  <si>
    <t>Para Excel 2003:</t>
  </si>
  <si>
    <t>Haga clic en la opción Herramientas del menú principal y seleccione las alternativas Macro – Seguridad.</t>
  </si>
  <si>
    <t>Verifique que el nivel de seguridad seleccionado sea Medio, en caso contrario tilde éste y presione el botón  Aceptar.</t>
  </si>
  <si>
    <t xml:space="preserve">Luego cierre la plantilla y vuelva abrir de forma habitual, visualice la pantalla de Advertencia de Seguridad que aparece con varias opciones, de las cuales seleccione la que indica Habilitar Macros. </t>
  </si>
  <si>
    <t>Para Excel 2007:</t>
  </si>
  <si>
    <t>Haga clic en el botón de Office (señalado) y luego en el botón Opciones de Excel.</t>
  </si>
  <si>
    <t>Presione el botón “Centro de Confianza” y luego “Configuración del Centro de Confianza”</t>
  </si>
  <si>
    <t>Haga clic en el botón “Configuración de Macros”, luego seleccione la opción “Habilitar todas las Macros. Seguidamente, presione el botón Aceptar de esta pantalla y todas las anteriores.</t>
  </si>
  <si>
    <t>Seguidamente, cierre la plantilla y vuelva abrir de forma habitual.</t>
  </si>
  <si>
    <t>_Null</t>
  </si>
  <si>
    <t>Nómina</t>
  </si>
  <si>
    <t>Proveedores</t>
  </si>
  <si>
    <t>Descripción de la Operación</t>
  </si>
  <si>
    <t>http://support.microsoft.com/kb/269370/es</t>
  </si>
  <si>
    <t>http://jldexcelsp.blogspot.com/2009/07/numeros-grandes-en-excel-primera-nota.html</t>
  </si>
  <si>
    <t>http://precisioncalc.com/Excel97free.html</t>
  </si>
  <si>
    <t>Nombre del Campo</t>
  </si>
  <si>
    <t xml:space="preserve">Longitud </t>
  </si>
  <si>
    <t>Tipo</t>
  </si>
  <si>
    <t>Decimal</t>
  </si>
  <si>
    <t>Requerido</t>
  </si>
  <si>
    <t>Descripción/Valor</t>
  </si>
  <si>
    <t>Ejemplo</t>
  </si>
  <si>
    <t>Registro de encabezado o header TIPO = 01. Longitud 250</t>
  </si>
  <si>
    <t>TIPO DE REGISTRO</t>
  </si>
  <si>
    <t>N</t>
  </si>
  <si>
    <t>N/A</t>
  </si>
  <si>
    <t>Sí</t>
  </si>
  <si>
    <t>Identificación el encabezado del lote</t>
  </si>
  <si>
    <t>01</t>
  </si>
  <si>
    <t>DESCRIPCION LOTE</t>
  </si>
  <si>
    <t>A</t>
  </si>
  <si>
    <t>Debe decir: "Proveedores" o "Nomina"</t>
  </si>
  <si>
    <t>PROVEEDORES</t>
  </si>
  <si>
    <t>TIPO PERSONA (Ordenante)</t>
  </si>
  <si>
    <t xml:space="preserve">Calificador (V-Venezolano,E-Extranjero ó P-Pasaporte)  Para el caso de RIF: Calificador (J-Juridico, G-Gobierno) </t>
  </si>
  <si>
    <t>J012345678     V006117681</t>
  </si>
  <si>
    <t>NUMERO RIF/CI (Ordenante)</t>
  </si>
  <si>
    <t>Número RIF/CI</t>
  </si>
  <si>
    <t>NÚMERO DE CONTRATO</t>
  </si>
  <si>
    <t>Número de la negociación</t>
  </si>
  <si>
    <t>90045678901234567</t>
  </si>
  <si>
    <t>NÚMERO DE LOTE / REFERENCIA DEBITO</t>
  </si>
  <si>
    <t>Número del Lote. Refrencia del débito</t>
  </si>
  <si>
    <t>FECHA DE ENVÍO</t>
  </si>
  <si>
    <t>Fecha de envío del lote. Debe estar en formato yyyymmdd</t>
  </si>
  <si>
    <t>20100530</t>
  </si>
  <si>
    <t>CANTIDAD DE OPERACIONES</t>
  </si>
  <si>
    <t>Cantidad de pagos en el lote (regsitros de detalle)</t>
  </si>
  <si>
    <t>138</t>
  </si>
  <si>
    <t>MONTO TOTAL</t>
  </si>
  <si>
    <t>Monto total del lote de pagos</t>
  </si>
  <si>
    <t>90000000090069700085</t>
  </si>
  <si>
    <t>MONEDA</t>
  </si>
  <si>
    <t>Moneda actual disponible Bs.</t>
  </si>
  <si>
    <t>FILLER</t>
  </si>
  <si>
    <t xml:space="preserve"> </t>
  </si>
  <si>
    <t>Uso futuro</t>
  </si>
  <si>
    <t>Registro de Detalle por cada pago en lote TIPO=02. Longitud 250</t>
  </si>
  <si>
    <t>TIPO REGISTRO</t>
  </si>
  <si>
    <t>Identificación de detalle. Pueden haber tantos registros de detalle como pagos se requieran en el lote.</t>
  </si>
  <si>
    <t>02</t>
  </si>
  <si>
    <t>TIPO PERSONA (Beneficiario)</t>
  </si>
  <si>
    <t>NUMERO RIF/CI (Beneficiario)</t>
  </si>
  <si>
    <t>NOMBRE DEL BENEFICIARIO</t>
  </si>
  <si>
    <t>Nombre del Beneficiario del crédito. Obligatorio cuando el beneficiario no está registrado o si la modalidad de pago es CHQ o EFE</t>
  </si>
  <si>
    <t>Jose Herrera Cortez</t>
  </si>
  <si>
    <t>REFERENCIA DE LA OPERACIÓN</t>
  </si>
  <si>
    <t>Numero de Referencia del Crédito</t>
  </si>
  <si>
    <t>DESCRIPCION OPERACIÓN</t>
  </si>
  <si>
    <t>texto libre</t>
  </si>
  <si>
    <t>MODALIDAD DE PAGO</t>
  </si>
  <si>
    <t>Valores: CTA Cuenta mismo bancos - BAN cuenta otro bancos - CHQ Cheque de Gerencia - EFE Efectivo - TAR  TC Visa / Master Otros bancos - AME TC American Express-  V/M TC Visa / Master mismo Banco,  si el beneficiario no está registrado</t>
  </si>
  <si>
    <t>NUMERO DE CUENTA ó TARJETA DE CRÉDITO</t>
  </si>
  <si>
    <t xml:space="preserve">Numero de la cuenta a acreditar. Obligatorio para Abono en cuenta mismo banco, otros bancos y tarjetas de crédito, si el beneficiario no está registrado </t>
  </si>
  <si>
    <t>Ejemplos:
01080265007712345678 00000377003480751006 00005466205600823018</t>
  </si>
  <si>
    <t>CODIGO DE BANCO</t>
  </si>
  <si>
    <t>Código del Banco</t>
  </si>
  <si>
    <t xml:space="preserve"> 0108</t>
  </si>
  <si>
    <t>FECHA VALOR</t>
  </si>
  <si>
    <t>Fecha de pago. Debe estar en formato yyyymmdd</t>
  </si>
  <si>
    <t>MONTO</t>
  </si>
  <si>
    <t>Monto del pago</t>
  </si>
  <si>
    <t>IMPUESTO RETENIDO</t>
  </si>
  <si>
    <t>No</t>
  </si>
  <si>
    <t>Monto del impuesto retebido en el documento asociado al pago</t>
  </si>
  <si>
    <t>168009</t>
  </si>
  <si>
    <t>EMAIL</t>
  </si>
  <si>
    <t>Dirección email del beneficiario</t>
  </si>
  <si>
    <t>joseh.cortez@gmail.com</t>
  </si>
  <si>
    <t>CELULAR</t>
  </si>
  <si>
    <t>Teléfono celular para envío de SMS</t>
  </si>
  <si>
    <t>04141234567</t>
  </si>
  <si>
    <t>Documentos asociados al pago TIPO=03 (Opcional)</t>
  </si>
  <si>
    <t>IDENTIFICADOR REGISTRO</t>
  </si>
  <si>
    <t>Identificación de documentos. Puede haber mas d eun (1) dpcumento por cada pago</t>
  </si>
  <si>
    <t>03</t>
  </si>
  <si>
    <t>NÚMERO DE FACTURA O DOCUMENTO.</t>
  </si>
  <si>
    <t>Número o referencia del documento</t>
  </si>
  <si>
    <t>A-12348-PEDIDO</t>
  </si>
  <si>
    <t>MONTO FACTURA</t>
  </si>
  <si>
    <t>Monto original del documento</t>
  </si>
  <si>
    <t>FECHA FACTURA</t>
  </si>
  <si>
    <t>Fecha del documento / factura.   yyyy/mm/dd</t>
  </si>
  <si>
    <t>2010/04/27</t>
  </si>
  <si>
    <t>Monto del impuesto retebido en la factura</t>
  </si>
  <si>
    <t>• Código respuesta</t>
  </si>
  <si>
    <t>• Descripción respuesta</t>
  </si>
  <si>
    <t>  Observaciones:</t>
  </si>
  <si>
    <t>Debe ser un archivo de texto.</t>
  </si>
  <si>
    <t>Los campos numéricos(N), deben ir alineados a la derecha y completados con ceros a la izquierda.</t>
  </si>
  <si>
    <t>Los campos alfanuméricos(A), deben ir alineados a la izquierda.</t>
  </si>
  <si>
    <t>Caracteres y dígitos permitidos:</t>
  </si>
  <si>
    <t>Alfanuméricos(A):  /abcdefghijklmnopqrstuvwxyz ABCDEFGHIJKLMNOPQRSTUVWXYZ.</t>
  </si>
  <si>
    <t>Numéricos(N):  0123456789.</t>
  </si>
  <si>
    <t>Cada registro debe terminar con CR(Carrige Return), LF(Line Feed).</t>
  </si>
  <si>
    <r>
      <t xml:space="preserve">nota: </t>
    </r>
    <r>
      <rPr>
        <b/>
        <i/>
        <sz val="8"/>
        <rFont val="Trebuchet MS"/>
        <family val="2"/>
      </rPr>
      <t>los campos señalados en gris, por el momento no serán validados por el aplicativo</t>
    </r>
  </si>
  <si>
    <r>
      <t xml:space="preserve">Formato Archivo Ordenes de Pago </t>
    </r>
    <r>
      <rPr>
        <b/>
        <u/>
        <sz val="10"/>
        <rFont val="Trebuchet MS"/>
        <family val="2"/>
      </rPr>
      <t xml:space="preserve"> </t>
    </r>
  </si>
  <si>
    <t>Tipo Persona(encabezado)</t>
  </si>
  <si>
    <t>INSTITUCIONES FINANCIERAS ADSCRITAS
A LA CÁMARA DE COMPENSACIÓN ELECTRÓNICA</t>
  </si>
  <si>
    <t xml:space="preserve"> BANCO CENTRAL DE VENEZUELA</t>
  </si>
  <si>
    <t xml:space="preserve"> BANCO INDUSTRIAL DE VENEZUELA, C.A.</t>
  </si>
  <si>
    <t xml:space="preserve"> BANCO GUAYANA, C.A.</t>
  </si>
  <si>
    <t xml:space="preserve"> BANCO DE VENEZUELA S.A.C.A. BANCO UNIVERSAL</t>
  </si>
  <si>
    <t xml:space="preserve"> VENEZOLANO DE CRÉDITO, S.A. BANCO UNIVERSAL</t>
  </si>
  <si>
    <t xml:space="preserve"> BANCO MERCANTIL, C.A. S.A.C.A. BANCO UNIVERSAL</t>
  </si>
  <si>
    <t xml:space="preserve"> BANCO PROVINCIAL, S.A. BANCO UNIVERSAL</t>
  </si>
  <si>
    <t xml:space="preserve"> BANCO DEL CARIBE, C.A. BANCO UNIVERSAL</t>
  </si>
  <si>
    <t xml:space="preserve"> BANCO EXTERIOR, C.A. BANCO UNIVERSAL</t>
  </si>
  <si>
    <t xml:space="preserve"> BANCO OCCIDENTAL DE DESCUENTO BANCO UNIVERSAL, C.A. S.A.C.A</t>
  </si>
  <si>
    <t xml:space="preserve"> CORP BANCA , C.A. BANCO UNIVERSAL</t>
  </si>
  <si>
    <t xml:space="preserve"> BANCO CARONI, C.A. BANCO UNIVERSAL</t>
  </si>
  <si>
    <t xml:space="preserve"> BANESCO BANCO UNIVERSAL S.A.C.A.</t>
  </si>
  <si>
    <t xml:space="preserve"> BANCO SOFITASA BANCO UNIVERSAL, C.A.</t>
  </si>
  <si>
    <t xml:space="preserve"> BANCO PLAZA, C.A.</t>
  </si>
  <si>
    <t xml:space="preserve"> BANCO DE LA GENTE EMPRENDEDORA BANGENTE, C.A.</t>
  </si>
  <si>
    <t xml:space="preserve"> BANCO DEL PUEBLO SOBERANO, C.A. BANCO DE DESARROLLO</t>
  </si>
  <si>
    <t xml:space="preserve"> BFC BANCO FONDO COMUN C.A. BANCO UNIVERSAL</t>
  </si>
  <si>
    <t xml:space="preserve"> 100% BANCO, BANCO COMERCIAL, C.A.</t>
  </si>
  <si>
    <t xml:space="preserve"> DEL SUR BANCO UNIVERSAL, C.A.</t>
  </si>
  <si>
    <t xml:space="preserve"> BANCO DEL TESORO, C.A. BANCO UNIVERSAL</t>
  </si>
  <si>
    <t xml:space="preserve"> BANCO AGRICOLA DE VENEZUELA, C.A. BANCO UNIVERSAL</t>
  </si>
  <si>
    <t xml:space="preserve"> BANCRECER S.A. BANCO DE DESARROLLO</t>
  </si>
  <si>
    <t xml:space="preserve"> MI BANCO, BANCO DE DESARROLLO, C.A.</t>
  </si>
  <si>
    <t xml:space="preserve"> BANCO ACTIVO, C.A. BANCO COMERCIAL</t>
  </si>
  <si>
    <t xml:space="preserve"> BANCO INTERNACIONAL DE DESARROLLO, C.A.</t>
  </si>
  <si>
    <t xml:space="preserve"> BANPLUS BANCO COMERCIAL, C.A.</t>
  </si>
  <si>
    <t xml:space="preserve"> BANCO BICENTENARIO BANCO UNIVERSAL, C.A.</t>
  </si>
  <si>
    <t xml:space="preserve"> CITIBANK N.A.</t>
  </si>
  <si>
    <t xml:space="preserve"> BANCO NACIONAL CRÉDITO, C.A. BANCO UNIVERSAL</t>
  </si>
  <si>
    <t xml:space="preserve"> INSTITUTO MUNICIPAL DE CRÉDITO POPULAR</t>
  </si>
  <si>
    <t>0001</t>
  </si>
  <si>
    <t>0003</t>
  </si>
  <si>
    <t>0008</t>
  </si>
  <si>
    <t>0102</t>
  </si>
  <si>
    <t>0104</t>
  </si>
  <si>
    <t>0105</t>
  </si>
  <si>
    <t>0108</t>
  </si>
  <si>
    <t>0114</t>
  </si>
  <si>
    <t>0115</t>
  </si>
  <si>
    <t>0116</t>
  </si>
  <si>
    <t>0121</t>
  </si>
  <si>
    <t>0128</t>
  </si>
  <si>
    <t>0134</t>
  </si>
  <si>
    <t>0137</t>
  </si>
  <si>
    <t>0138</t>
  </si>
  <si>
    <t>0146</t>
  </si>
  <si>
    <t>0149</t>
  </si>
  <si>
    <t>0151</t>
  </si>
  <si>
    <t>0156</t>
  </si>
  <si>
    <t>0157</t>
  </si>
  <si>
    <t>0163</t>
  </si>
  <si>
    <t>0166</t>
  </si>
  <si>
    <t>0168</t>
  </si>
  <si>
    <t>0169</t>
  </si>
  <si>
    <t>0171</t>
  </si>
  <si>
    <t>0173</t>
  </si>
  <si>
    <t>0174</t>
  </si>
  <si>
    <t>0175</t>
  </si>
  <si>
    <t>0190</t>
  </si>
  <si>
    <t>0191</t>
  </si>
  <si>
    <t>0601</t>
  </si>
  <si>
    <t>CÓDIGO</t>
  </si>
  <si>
    <t>BANCO</t>
  </si>
  <si>
    <t>CUENTA A ACREDITAR / N° DE TARJETA:</t>
  </si>
  <si>
    <t>R</t>
  </si>
  <si>
    <t>FECHA VALOR (SIST.):</t>
  </si>
  <si>
    <t>FECHA DE FACTURA (SIST.):</t>
  </si>
  <si>
    <t>R.I.F. N°:</t>
  </si>
  <si>
    <t>REGISTRO DE BENEFICIARIOS PARA ÓRDENES DE PAGOS</t>
  </si>
  <si>
    <t>DATOS DEL BENEFICIARIO</t>
  </si>
  <si>
    <t>TIPO DE REGISTRO:</t>
  </si>
  <si>
    <t>NÚMERO DE CONTRATO:</t>
  </si>
  <si>
    <t>NOMBRE COMPLETO / RAZÓN SOCIAL DEL BENEFICIARIO:</t>
  </si>
  <si>
    <t>STATUS DE BENEFICIARIO:</t>
  </si>
  <si>
    <t xml:space="preserve"> MONTO MÁXIMO:</t>
  </si>
  <si>
    <t>Formato Archivo Beneficiarios de Pago</t>
  </si>
  <si>
    <t>(Del Cliente al Banco)</t>
  </si>
  <si>
    <t>Registro de Detalle por cada Beneficiario TIPO=01. Longitud 250</t>
  </si>
  <si>
    <t>Identificación de detalle. Pueden haber tantos registros de detalle como beneficiarios se requieran en el lote.</t>
  </si>
  <si>
    <t>NUMERO DE CONTRATO</t>
  </si>
  <si>
    <t>SI</t>
  </si>
  <si>
    <t>Numero de Contrato al cual el beneficiario se encotrará relacionado en el sistema</t>
  </si>
  <si>
    <t>900012345678911001</t>
  </si>
  <si>
    <t>NUMERO RIF/CI  (Beneficiario)</t>
  </si>
  <si>
    <t>FORMA DE PAGO</t>
  </si>
  <si>
    <t>Valores: CTA Cuenta mismo bancos - BAN cuenta otro bancos - CHQ Cheque de Geencia - EFE Efectivo - TAR  TC Visa / Master Otros bancos - AME TC American Express-  V/M TC Visa / Master mismo Banco</t>
  </si>
  <si>
    <t>Numero de la cuenta a acreditar. Obligatorio para Abono en cuenta mismo banco, otros bancos y tarjetas de crédito</t>
  </si>
  <si>
    <t>STATUS BENEFICIARIO</t>
  </si>
  <si>
    <t>Indica el estado del beneficiario "AC" Activo 
"IN" inactivo</t>
  </si>
  <si>
    <t>AC</t>
  </si>
  <si>
    <t>MONTO MÁXIMO</t>
  </si>
  <si>
    <t>Monto máximo en una operación de pago</t>
  </si>
  <si>
    <t>Autorizados a retirar los pagos (opcional) TIPO=02. Longitud 250</t>
  </si>
  <si>
    <t>Identificación de regisstro de Autorizados. Puede mas de un (1) autorizado por beneficiario.</t>
  </si>
  <si>
    <t>TIPO PERSONA  (Autorizado)</t>
  </si>
  <si>
    <t>RIF/CI (Autorizado)</t>
  </si>
  <si>
    <t>NOMBRE DEL AUTORIZADO</t>
  </si>
  <si>
    <t>Nombre del Autorizado</t>
  </si>
  <si>
    <t>Juan Pedro Gimenez</t>
  </si>
  <si>
    <t>STATUS DEL AUTORIZADO</t>
  </si>
  <si>
    <t>Indica la acción a realizar en el estado del autorizado "AC" Activar 
"IN" inactivar</t>
  </si>
  <si>
    <t xml:space="preserve"> (del Banco al Cliente)</t>
  </si>
  <si>
    <t>COD RESPUESTA</t>
  </si>
  <si>
    <t>Será aportado por el Banco</t>
  </si>
  <si>
    <t>DESCRIPCION</t>
  </si>
  <si>
    <t>COD RECHAZO</t>
  </si>
  <si>
    <t>DESCRIPCION RECHAZO</t>
  </si>
  <si>
    <t>TIPO PERSONA (Autorizado)</t>
  </si>
  <si>
    <t>NUMERO RIF/CI (Autorizado)</t>
  </si>
  <si>
    <t>Indica la acción. "AC" Activar "IN" Inactivar 
"IN" inactivo</t>
  </si>
  <si>
    <t>El archivo de respuesta tendrá la misma información, incorporando en el regsitro de encabezado y detalle:</t>
  </si>
  <si>
    <t>• Código Rechazo</t>
  </si>
  <si>
    <t>• Descripción  Rechazo</t>
  </si>
  <si>
    <r>
      <t xml:space="preserve">nota: </t>
    </r>
    <r>
      <rPr>
        <b/>
        <i/>
        <sz val="8"/>
        <rFont val="Arial"/>
        <family val="2"/>
      </rPr>
      <t>los campos señalas en gris no serán validados por el aplicativo</t>
    </r>
  </si>
  <si>
    <t>Status Beneficiario</t>
  </si>
  <si>
    <t>ACTIVO</t>
  </si>
  <si>
    <t>INACTIVO</t>
  </si>
  <si>
    <t>AUTORIZADOS A RETIRAR LOS PAGOS (Opcional)</t>
  </si>
  <si>
    <t>IDENTIFICADOR REGISTRO:</t>
  </si>
  <si>
    <t>TIPO PERSONA  :</t>
  </si>
  <si>
    <t>NOMBRE DEL AUTORIZADO:</t>
  </si>
  <si>
    <t>STATUS DEL AUTORIZADO:</t>
  </si>
  <si>
    <t xml:space="preserve">R.I.F. / C.I. N°: </t>
  </si>
  <si>
    <t>lineas/insertar</t>
  </si>
  <si>
    <t>Volver al Menú</t>
  </si>
  <si>
    <t>1</t>
  </si>
  <si>
    <t>C.I. / R.I.F. N°:</t>
  </si>
  <si>
    <t>DESCRIPCIÓN</t>
  </si>
  <si>
    <t>DESCRIPCIÓN RECHAZO</t>
  </si>
  <si>
    <t>CÓD. RESPUESTA</t>
  </si>
  <si>
    <t>CÓD. RECHAZO</t>
  </si>
  <si>
    <t>Nro. Lote interno Banco</t>
  </si>
  <si>
    <t>Registro de Detalle por cada pago en lote TIPO=02. Longitud 302</t>
  </si>
  <si>
    <t>NRO. VOLANTE</t>
  </si>
  <si>
    <t>identificación del pago en taquilla mediante cheque</t>
  </si>
  <si>
    <t>COD ERROR</t>
  </si>
  <si>
    <t>NO</t>
  </si>
  <si>
    <t>DESCRIPCION ERROR</t>
  </si>
  <si>
    <t>Formato Archivo Ordenes de Pago</t>
  </si>
  <si>
    <t>N° VOLANTE</t>
  </si>
  <si>
    <t>IMPUESTO RETENIDO:2</t>
  </si>
  <si>
    <t>DESCARGA SOLICITUD MASIVA DE ORDENES DE PAGOS</t>
  </si>
  <si>
    <t>DESCARGA REGISTRO DE BENEFICIARIOS PARA ÓRDENES DE PAGOS</t>
  </si>
  <si>
    <t>DETALLE DE RESPUESTA</t>
  </si>
  <si>
    <t>(Del Banco al Cliente)</t>
  </si>
  <si>
    <t>N° LOTE INTERNO BANCO</t>
  </si>
  <si>
    <t>AME</t>
  </si>
  <si>
    <t>Mod_bod</t>
  </si>
  <si>
    <t>Para Excel 2010:</t>
  </si>
  <si>
    <t>Haga clic en el menú Archivo y luego en Opciones.</t>
  </si>
  <si>
    <t>Banco</t>
  </si>
  <si>
    <t>efe-chq</t>
  </si>
  <si>
    <t>v/m-ame</t>
  </si>
  <si>
    <t>cta-ban-tar</t>
  </si>
  <si>
    <t>Linea de Inicio Orden de Pago</t>
  </si>
  <si>
    <t>Linea de Inicio Beneficiarios</t>
  </si>
  <si>
    <t>CORREO ELECTRÓNICO</t>
  </si>
  <si>
    <t>Linea del grupo final</t>
  </si>
  <si>
    <t>Número del Lote. Referencia del débito. Será utilizada en el esatdo de cuenta (modaldiad 1:n)</t>
  </si>
  <si>
    <t>Monto total del lote de pagos (Incluye los decimales sin separador). Monto expresado en el ejemplo: 100.563,51</t>
  </si>
  <si>
    <t>10056351</t>
  </si>
  <si>
    <t>Numero de Referencia del Crédito a ser utilizada en el estado de cuenta (modalidad 1:1)</t>
  </si>
  <si>
    <t xml:space="preserve">Código del Banco. </t>
  </si>
  <si>
    <t>Monto del pago. Incluye los decimales. Monto expresado en ejemplo: Bs. 14.000,75</t>
  </si>
  <si>
    <t>Monto del impuesto retenido en el documento asociado al pago Bs. 1.680,09</t>
  </si>
  <si>
    <t>Identificación de documentos. Puede haber mas de un (1) dpcumento por cada pago</t>
  </si>
  <si>
    <t>Registro de encabezado o header TIPO = 01. Longitud 1000</t>
  </si>
  <si>
    <t>Registro de Detalle por cada pago en lote TIPO=02. Longitud 1000</t>
  </si>
  <si>
    <t>Documentos asociados al pago TIPO=03 (Opcional). Longitud 1000</t>
  </si>
  <si>
    <t xml:space="preserve">           los campos resaltados en verde, serán generados por el Banco</t>
  </si>
  <si>
    <t xml:space="preserve">                 SOLICITUD MASIVA DE ORDENES DE PAGOS / REGISTRO BENEFICIARIOS DE PAGOS</t>
  </si>
  <si>
    <t xml:space="preserve">NOTA IMPORTANTE: Para que este formulario funcione correctamente debe tener habilitadas las macros, para ello, verifique el nivel de seguridad, siguiendo las instrucciones de acuerdo a la versión de Excel que tenga instalada en su equipo.
</t>
  </si>
  <si>
    <t>Excel - 2003</t>
  </si>
  <si>
    <t>Excel - 2007</t>
  </si>
  <si>
    <t>Excel - 2010</t>
  </si>
  <si>
    <r>
      <t xml:space="preserve">                                                            *  </t>
    </r>
    <r>
      <rPr>
        <b/>
        <sz val="9"/>
        <color indexed="8"/>
        <rFont val="Trebuchet MS"/>
        <family val="2"/>
      </rPr>
      <t>Nota preliminar</t>
    </r>
    <r>
      <rPr>
        <sz val="9"/>
        <color indexed="8"/>
        <rFont val="Trebuchet MS"/>
        <family val="2"/>
      </rPr>
      <t xml:space="preserve">  *
                         (</t>
    </r>
    <r>
      <rPr>
        <i/>
        <sz val="9"/>
        <color indexed="8"/>
        <rFont val="Trebuchet MS"/>
        <family val="2"/>
      </rPr>
      <t>Este formulario es de uso Privado, y solo debe imprimirse si es necesario.</t>
    </r>
    <r>
      <rPr>
        <sz val="9"/>
        <color indexed="8"/>
        <rFont val="Trebuchet MS"/>
        <family val="2"/>
      </rPr>
      <t xml:space="preserve">)
Este formulario requiere la activación de macros, para configurar las macros siga las instrucciones de acuerdo a la versión de Excel que tenga instalada en su equipo:
</t>
    </r>
    <r>
      <rPr>
        <b/>
        <sz val="9"/>
        <color indexed="8"/>
        <rFont val="Trebuchet MS"/>
        <family val="2"/>
      </rPr>
      <t>Excel 2003:</t>
    </r>
    <r>
      <rPr>
        <sz val="9"/>
        <color indexed="8"/>
        <rFont val="Trebuchet MS"/>
        <family val="2"/>
      </rPr>
      <t xml:space="preserve">
1) Haga clic en el menú Herramientas y, a continuación, en el sub menú Macro.  Seleccione la opción Seguridad
2) Haga clic en Nivel de Seguridad, y seleccione el nivel de seguridad Medio.
3) Luego cierre la plantilla y vuelva abrir de forma habitual, visualice que en la pantalla se muestre el  mensaje de Advertencia de Seguridad y a continuación haga clic en Habilitar todas las macros.
</t>
    </r>
    <r>
      <rPr>
        <b/>
        <sz val="9"/>
        <color indexed="8"/>
        <rFont val="Trebuchet MS"/>
        <family val="2"/>
      </rPr>
      <t>Excel 2007:</t>
    </r>
    <r>
      <rPr>
        <sz val="9"/>
        <color indexed="8"/>
        <rFont val="Trebuchet MS"/>
        <family val="2"/>
      </rPr>
      <t xml:space="preserve">
1) Haga clic en el botón de Microsoft Office y, a continuación, en Opciones de Excel.  
2) Haga clic en Centro de confianza, en Configuración del Centro de confianza y, a continuación, en Configuración de Macros. 
3) Haga clic en la opción (Habilitar todas las macros), para permitir que se ejecuten todas las macros.
</t>
    </r>
    <r>
      <rPr>
        <b/>
        <sz val="9"/>
        <color indexed="8"/>
        <rFont val="Trebuchet MS"/>
        <family val="2"/>
      </rPr>
      <t>Excel 2010:</t>
    </r>
    <r>
      <rPr>
        <sz val="9"/>
        <color indexed="8"/>
        <rFont val="Trebuchet MS"/>
        <family val="2"/>
      </rPr>
      <t xml:space="preserve">
1) Haga clic en la pestaña Archivo y, a continuación apretamos el botón Opciones
2) Haga clic en Centro de confianza y, a continuación, en Configuración del centro de confianza.
3) Luego en el centro de confianza activamos la opción Configuración de macros y a continuación haga clic en la opción Habilitar todas las macros.
</t>
    </r>
  </si>
  <si>
    <t>AYUDA GENERAL:
       * Presione Clic sobre el botón agregar filas, para  agregar mas registros.
       * Presione Clic sobre el botón eliminar filas, para eliminar registros.
Nota: En caso de requerir eliminar filas alternas, por favor seleccione en la barra de Menú de excel,  la opción "Vista" y active la opción "Titulos", luego presione clic derecho en la fila que desea eliminar.</t>
  </si>
  <si>
    <t>0172</t>
  </si>
  <si>
    <t>0176</t>
  </si>
  <si>
    <t>0177</t>
  </si>
  <si>
    <t xml:space="preserve"> BANCAMICA, BANCO MICROFINANCIERO C.A. </t>
  </si>
  <si>
    <t xml:space="preserve"> NOVO BANCO, S.A. SUCURSAL VENEZUELA BANCO UNIVERSAL </t>
  </si>
  <si>
    <t xml:space="preserve"> BANCO DE LA FUERZA ARMADA NACIONAL BOLIVARIANA, B.U.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</si>
</sst>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 * #,##0.00_ ;_ * \-#,##0.00_ ;_ * &quot;-&quot;??_ ;_ @_ "/>
    <numFmt numFmtId="164" formatCode="_-* #,##0.00\ &quot;€&quot;_-;\-* #,##0.00\ &quot;€&quot;_-;_-* &quot;-&quot;??\ &quot;€&quot;_-;_-@_-"/>
    <numFmt numFmtId="165" formatCode="_(&quot;Bs&quot;\ * #,##0.00_);_(&quot;Bs&quot;\ * \(#,##0.00\);_(&quot;Bs&quot;\ * &quot;-&quot;??_);_(@_)"/>
    <numFmt numFmtId="166" formatCode="yyyy\-mm\-dd;@"/>
    <numFmt numFmtId="167" formatCode="yyyymmdd"/>
  </numFmts>
  <fonts count="7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Trebuchet MS"/>
      <family val="2"/>
    </font>
    <font>
      <sz val="8"/>
      <color indexed="8"/>
      <name val="Trebuchet MS"/>
      <family val="2"/>
    </font>
    <font>
      <sz val="9"/>
      <color indexed="8"/>
      <name val="Trebuchet MS"/>
      <family val="2"/>
    </font>
    <font>
      <b/>
      <sz val="12"/>
      <color indexed="8"/>
      <name val="Trebuchet MS"/>
      <family val="2"/>
    </font>
    <font>
      <b/>
      <sz val="9"/>
      <color indexed="9"/>
      <name val="Trebuchet MS"/>
      <family val="2"/>
    </font>
    <font>
      <sz val="11"/>
      <color indexed="9"/>
      <name val="Trebuchet MS"/>
      <family val="2"/>
    </font>
    <font>
      <sz val="11"/>
      <color indexed="8"/>
      <name val="Calibri"/>
      <family val="2"/>
    </font>
    <font>
      <sz val="11"/>
      <color indexed="10"/>
      <name val="Trebuchet MS"/>
      <family val="2"/>
    </font>
    <font>
      <sz val="10"/>
      <name val="Trebuchet MS"/>
      <family val="2"/>
    </font>
    <font>
      <b/>
      <sz val="12"/>
      <color indexed="8"/>
      <name val="Trebuchet MS"/>
      <family val="2"/>
    </font>
    <font>
      <sz val="11"/>
      <color indexed="8"/>
      <name val="Trebuchet MS"/>
      <family val="2"/>
    </font>
    <font>
      <sz val="8"/>
      <name val="Calibri"/>
      <family val="2"/>
    </font>
    <font>
      <b/>
      <sz val="8"/>
      <color indexed="81"/>
      <name val="Tahoma"/>
      <family val="2"/>
    </font>
    <font>
      <sz val="9"/>
      <name val="Trebuchet MS"/>
      <family val="2"/>
    </font>
    <font>
      <sz val="11"/>
      <name val="Trebuchet MS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8.8000000000000007"/>
      <color indexed="63"/>
      <name val="Verdana"/>
      <family val="2"/>
    </font>
    <font>
      <b/>
      <sz val="10"/>
      <color indexed="9"/>
      <name val="Century Gothic"/>
      <family val="2"/>
    </font>
    <font>
      <sz val="8"/>
      <color indexed="81"/>
      <name val="Tahoma"/>
      <family val="2"/>
    </font>
    <font>
      <b/>
      <sz val="8"/>
      <color indexed="63"/>
      <name val="Trebuchet MS"/>
      <family val="2"/>
    </font>
    <font>
      <b/>
      <sz val="8"/>
      <color indexed="8"/>
      <name val="Trebuchet MS"/>
      <family val="2"/>
    </font>
    <font>
      <b/>
      <sz val="10"/>
      <name val="Trebuchet MS"/>
      <family val="2"/>
    </font>
    <font>
      <b/>
      <sz val="10"/>
      <color indexed="9"/>
      <name val="Trebuchet MS"/>
      <family val="2"/>
    </font>
    <font>
      <u/>
      <sz val="8"/>
      <color indexed="12"/>
      <name val="Trebuchet MS"/>
      <family val="2"/>
    </font>
    <font>
      <b/>
      <i/>
      <u/>
      <sz val="8"/>
      <name val="Trebuchet MS"/>
      <family val="2"/>
    </font>
    <font>
      <b/>
      <i/>
      <sz val="8"/>
      <name val="Trebuchet MS"/>
      <family val="2"/>
    </font>
    <font>
      <b/>
      <sz val="10"/>
      <color indexed="18"/>
      <name val="Trebuchet MS"/>
      <family val="2"/>
    </font>
    <font>
      <sz val="10"/>
      <color indexed="18"/>
      <name val="Trebuchet MS"/>
      <family val="2"/>
    </font>
    <font>
      <b/>
      <sz val="9"/>
      <color indexed="8"/>
      <name val="Trebuchet MS"/>
      <family val="2"/>
    </font>
    <font>
      <b/>
      <sz val="15"/>
      <name val="Trebuchet MS"/>
      <family val="2"/>
    </font>
    <font>
      <b/>
      <u/>
      <sz val="10"/>
      <name val="Trebuchet MS"/>
      <family val="2"/>
    </font>
    <font>
      <b/>
      <sz val="8.8000000000000007"/>
      <color indexed="63"/>
      <name val="Trebuchet MS"/>
      <family val="2"/>
    </font>
    <font>
      <b/>
      <sz val="8"/>
      <color indexed="63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u/>
      <sz val="8"/>
      <color indexed="12"/>
      <name val="Arial"/>
      <family val="2"/>
    </font>
    <font>
      <b/>
      <sz val="12"/>
      <color indexed="17"/>
      <name val="Arial"/>
      <family val="2"/>
    </font>
    <font>
      <b/>
      <sz val="10"/>
      <name val="Arial"/>
      <family val="2"/>
    </font>
    <font>
      <b/>
      <i/>
      <u/>
      <sz val="8"/>
      <name val="Arial"/>
      <family val="2"/>
    </font>
    <font>
      <b/>
      <i/>
      <sz val="8"/>
      <name val="Arial"/>
      <family val="2"/>
    </font>
    <font>
      <b/>
      <sz val="10"/>
      <color indexed="10"/>
      <name val="Trebuchet MS"/>
      <family val="2"/>
    </font>
    <font>
      <sz val="9"/>
      <color indexed="9"/>
      <name val="Trebuchet MS"/>
      <family val="2"/>
    </font>
    <font>
      <sz val="11"/>
      <color indexed="8"/>
      <name val="Trebuchet MS"/>
      <family val="2"/>
    </font>
    <font>
      <sz val="10"/>
      <color indexed="8"/>
      <name val="Trebuchet MS"/>
      <family val="2"/>
    </font>
    <font>
      <u/>
      <sz val="8"/>
      <color indexed="12"/>
      <name val="Trebuchet MS"/>
      <family val="2"/>
    </font>
    <font>
      <u/>
      <sz val="10"/>
      <color indexed="12"/>
      <name val="Trebuchet MS"/>
      <family val="2"/>
    </font>
    <font>
      <sz val="11"/>
      <color indexed="9"/>
      <name val="Trebuchet MS"/>
      <family val="2"/>
    </font>
    <font>
      <b/>
      <sz val="11"/>
      <color indexed="8"/>
      <name val="Trebuchet MS"/>
      <family val="2"/>
    </font>
    <font>
      <sz val="8"/>
      <name val="Trebuchet MS"/>
      <family val="2"/>
    </font>
    <font>
      <b/>
      <sz val="9"/>
      <name val="Trebuchet MS"/>
      <family val="2"/>
    </font>
    <font>
      <sz val="11"/>
      <color indexed="8"/>
      <name val="Trebuchet MS"/>
      <family val="2"/>
    </font>
    <font>
      <b/>
      <sz val="11"/>
      <name val="Calibri"/>
      <family val="2"/>
    </font>
    <font>
      <sz val="11"/>
      <color indexed="9"/>
      <name val="Trebuchet MS"/>
      <family val="2"/>
    </font>
    <font>
      <u/>
      <sz val="8"/>
      <color indexed="12"/>
      <name val="Trebuchet MS"/>
      <family val="2"/>
    </font>
    <font>
      <b/>
      <sz val="8"/>
      <color indexed="9"/>
      <name val="Trebuchet MS"/>
      <family val="2"/>
    </font>
    <font>
      <i/>
      <sz val="9"/>
      <color indexed="8"/>
      <name val="Trebuchet MS"/>
      <family val="2"/>
    </font>
    <font>
      <sz val="10"/>
      <color indexed="10"/>
      <name val="Trebuchet MS"/>
      <family val="2"/>
    </font>
    <font>
      <b/>
      <sz val="10"/>
      <color indexed="63"/>
      <name val="Trebuchet MS"/>
      <family val="2"/>
    </font>
    <font>
      <sz val="11"/>
      <color indexed="63"/>
      <name val="Trebuchet MS"/>
      <family val="2"/>
    </font>
    <font>
      <b/>
      <sz val="14"/>
      <color indexed="8"/>
      <name val="Trebuchet MS"/>
      <family val="2"/>
    </font>
    <font>
      <b/>
      <sz val="9"/>
      <color indexed="8"/>
      <name val="Arial"/>
      <family val="2"/>
    </font>
    <font>
      <b/>
      <sz val="9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</font>
    <font>
      <sz val="11"/>
      <color theme="0"/>
      <name val="Trebuchet MS"/>
      <family val="2"/>
    </font>
    <font>
      <b/>
      <sz val="10"/>
      <color theme="0"/>
      <name val="Trebuchet MS"/>
      <family val="2"/>
    </font>
    <font>
      <sz val="9"/>
      <color theme="1"/>
      <name val="Trebuchet MS"/>
      <family val="2"/>
    </font>
    <font>
      <b/>
      <sz val="8"/>
      <color theme="1" tint="0.249977111117893"/>
      <name val="Trebuchet MS"/>
      <family val="2"/>
    </font>
    <font>
      <b/>
      <sz val="9"/>
      <color theme="1" tint="0.249977111117893"/>
      <name val="Trebuchet MS"/>
      <family val="2"/>
    </font>
    <font>
      <b/>
      <sz val="11"/>
      <color theme="1" tint="0.249977111117893"/>
      <name val="Calibri"/>
      <family val="2"/>
      <scheme val="minor"/>
    </font>
    <font>
      <sz val="10"/>
      <color rgb="FFFF0000"/>
      <name val="Trebuchet MS"/>
      <family val="2"/>
    </font>
    <font>
      <b/>
      <sz val="8"/>
      <color theme="0"/>
      <name val="Arial"/>
      <family val="2"/>
    </font>
    <font>
      <b/>
      <sz val="10"/>
      <color rgb="FF333399"/>
      <name val="Century Gothic"/>
      <family val="2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50B84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22"/>
      </left>
      <right/>
      <top style="medium">
        <color indexed="22"/>
      </top>
      <bottom style="medium">
        <color indexed="22"/>
      </bottom>
      <diagonal/>
    </border>
    <border>
      <left/>
      <right/>
      <top style="medium">
        <color indexed="22"/>
      </top>
      <bottom style="medium">
        <color indexed="22"/>
      </bottom>
      <diagonal/>
    </border>
    <border>
      <left/>
      <right style="medium">
        <color indexed="22"/>
      </right>
      <top style="medium">
        <color indexed="22"/>
      </top>
      <bottom style="medium">
        <color indexed="22"/>
      </bottom>
      <diagonal/>
    </border>
    <border>
      <left style="medium">
        <color indexed="22"/>
      </left>
      <right style="medium">
        <color indexed="22"/>
      </right>
      <top style="medium">
        <color indexed="22"/>
      </top>
      <bottom style="medium">
        <color indexed="22"/>
      </bottom>
      <diagonal/>
    </border>
    <border>
      <left/>
      <right style="medium">
        <color indexed="22"/>
      </right>
      <top/>
      <bottom/>
      <diagonal/>
    </border>
    <border>
      <left style="medium">
        <color indexed="22"/>
      </left>
      <right style="medium">
        <color indexed="22"/>
      </right>
      <top/>
      <bottom style="medium">
        <color indexed="22"/>
      </bottom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 style="medium">
        <color indexed="22"/>
      </left>
      <right style="medium">
        <color indexed="22"/>
      </right>
      <top style="medium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22"/>
      </right>
      <top style="medium">
        <color indexed="22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22"/>
      </left>
      <right style="medium">
        <color indexed="22"/>
      </right>
      <top/>
      <bottom/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 style="thin">
        <color indexed="23"/>
      </right>
      <top/>
      <bottom style="thin">
        <color indexed="55"/>
      </bottom>
      <diagonal/>
    </border>
    <border>
      <left style="thin">
        <color indexed="23"/>
      </left>
      <right style="thin">
        <color indexed="23"/>
      </right>
      <top/>
      <bottom style="thin">
        <color indexed="55"/>
      </bottom>
      <diagonal/>
    </border>
    <border>
      <left style="thin">
        <color indexed="23"/>
      </left>
      <right/>
      <top/>
      <bottom style="thin">
        <color indexed="55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 style="thin">
        <color indexed="55"/>
      </right>
      <top/>
      <bottom/>
      <diagonal/>
    </border>
    <border>
      <left style="thin">
        <color indexed="55"/>
      </left>
      <right style="thin">
        <color indexed="55"/>
      </right>
      <top/>
      <bottom/>
      <diagonal/>
    </border>
    <border>
      <left style="thin">
        <color indexed="55"/>
      </left>
      <right/>
      <top/>
      <bottom/>
      <diagonal/>
    </border>
    <border>
      <left/>
      <right/>
      <top/>
      <bottom style="medium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23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/>
      <bottom style="thin">
        <color indexed="64"/>
      </bottom>
      <diagonal/>
    </border>
    <border>
      <left style="thin">
        <color indexed="23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medium">
        <color indexed="23"/>
      </left>
      <right style="thin">
        <color indexed="23"/>
      </right>
      <top style="medium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medium">
        <color indexed="23"/>
      </top>
      <bottom style="thin">
        <color indexed="23"/>
      </bottom>
      <diagonal/>
    </border>
    <border>
      <left/>
      <right/>
      <top style="medium">
        <color indexed="23"/>
      </top>
      <bottom style="thin">
        <color indexed="9"/>
      </bottom>
      <diagonal/>
    </border>
    <border>
      <left/>
      <right style="medium">
        <color indexed="23"/>
      </right>
      <top style="medium">
        <color indexed="23"/>
      </top>
      <bottom/>
      <diagonal/>
    </border>
    <border>
      <left style="thin">
        <color indexed="23"/>
      </left>
      <right/>
      <top style="medium">
        <color indexed="23"/>
      </top>
      <bottom style="thin">
        <color indexed="23"/>
      </bottom>
      <diagonal/>
    </border>
    <border>
      <left/>
      <right/>
      <top style="medium">
        <color indexed="23"/>
      </top>
      <bottom style="thin">
        <color indexed="23"/>
      </bottom>
      <diagonal/>
    </border>
    <border>
      <left/>
      <right style="thin">
        <color indexed="23"/>
      </right>
      <top style="medium">
        <color indexed="23"/>
      </top>
      <bottom style="thin">
        <color indexed="23"/>
      </bottom>
      <diagonal/>
    </border>
    <border>
      <left style="medium">
        <color indexed="23"/>
      </left>
      <right/>
      <top style="medium">
        <color indexed="23"/>
      </top>
      <bottom style="medium">
        <color indexed="23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 style="medium">
        <color indexed="23"/>
      </right>
      <top style="medium">
        <color indexed="23"/>
      </top>
      <bottom style="medium">
        <color indexed="23"/>
      </bottom>
      <diagonal/>
    </border>
    <border>
      <left/>
      <right style="medium">
        <color theme="0" tint="-0.24997711111789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medium">
        <color indexed="22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6">
    <xf numFmtId="0" fontId="0" fillId="0" borderId="0"/>
    <xf numFmtId="164" fontId="18" fillId="0" borderId="0" applyFont="0" applyFill="0" applyBorder="0" applyAlignment="0" applyProtection="0"/>
    <xf numFmtId="0" fontId="67" fillId="0" borderId="0" applyNumberFormat="0" applyFill="0" applyBorder="0" applyAlignment="0" applyProtection="0">
      <alignment vertical="top"/>
      <protection locked="0"/>
    </xf>
    <xf numFmtId="0" fontId="68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68" fillId="0" borderId="0" applyNumberFormat="0" applyFill="0" applyBorder="0" applyAlignment="0" applyProtection="0">
      <alignment vertical="top"/>
      <protection locked="0"/>
    </xf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8" fillId="0" borderId="0" applyFont="0" applyFill="0" applyBorder="0" applyAlignment="0" applyProtection="0"/>
    <xf numFmtId="0" fontId="10" fillId="0" borderId="0"/>
    <xf numFmtId="0" fontId="18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18" fillId="0" borderId="0"/>
  </cellStyleXfs>
  <cellXfs count="490">
    <xf numFmtId="0" fontId="0" fillId="0" borderId="0" xfId="0"/>
    <xf numFmtId="0" fontId="2" fillId="0" borderId="0" xfId="0" applyFont="1"/>
    <xf numFmtId="0" fontId="3" fillId="0" borderId="1" xfId="0" applyFont="1" applyBorder="1" applyAlignment="1">
      <alignment vertical="justify"/>
    </xf>
    <xf numFmtId="0" fontId="3" fillId="0" borderId="0" xfId="0" applyFont="1" applyBorder="1" applyAlignment="1">
      <alignment vertical="justify"/>
    </xf>
    <xf numFmtId="0" fontId="2" fillId="0" borderId="0" xfId="0" applyFont="1" applyAlignment="1">
      <alignment wrapText="1"/>
    </xf>
    <xf numFmtId="166" fontId="4" fillId="0" borderId="2" xfId="0" applyNumberFormat="1" applyFont="1" applyBorder="1" applyAlignment="1" applyProtection="1">
      <protection locked="0"/>
    </xf>
    <xf numFmtId="0" fontId="7" fillId="0" borderId="0" xfId="0" applyFont="1" applyProtection="1">
      <protection locked="0"/>
    </xf>
    <xf numFmtId="0" fontId="4" fillId="0" borderId="0" xfId="0" applyFont="1" applyProtection="1"/>
    <xf numFmtId="0" fontId="4" fillId="0" borderId="0" xfId="0" applyFont="1" applyAlignment="1" applyProtection="1">
      <alignment wrapText="1"/>
    </xf>
    <xf numFmtId="0" fontId="4" fillId="0" borderId="0" xfId="0" applyFont="1" applyBorder="1" applyProtection="1"/>
    <xf numFmtId="0" fontId="3" fillId="0" borderId="3" xfId="0" applyFont="1" applyFill="1" applyBorder="1" applyAlignment="1" applyProtection="1">
      <alignment vertical="center"/>
      <protection locked="0"/>
    </xf>
    <xf numFmtId="1" fontId="3" fillId="0" borderId="3" xfId="0" applyNumberFormat="1" applyFont="1" applyFill="1" applyBorder="1" applyAlignment="1" applyProtection="1">
      <alignment vertical="center"/>
      <protection locked="0"/>
    </xf>
    <xf numFmtId="0" fontId="3" fillId="0" borderId="3" xfId="0" applyFont="1" applyFill="1" applyBorder="1" applyAlignment="1" applyProtection="1">
      <alignment vertical="center" wrapText="1"/>
      <protection locked="0"/>
    </xf>
    <xf numFmtId="49" fontId="3" fillId="0" borderId="3" xfId="0" applyNumberFormat="1" applyFont="1" applyFill="1" applyBorder="1" applyAlignment="1" applyProtection="1">
      <alignment vertical="center"/>
      <protection locked="0"/>
    </xf>
    <xf numFmtId="166" fontId="3" fillId="0" borderId="3" xfId="0" applyNumberFormat="1" applyFont="1" applyFill="1" applyBorder="1" applyAlignment="1" applyProtection="1">
      <alignment vertical="center"/>
      <protection locked="0"/>
    </xf>
    <xf numFmtId="0" fontId="3" fillId="0" borderId="4" xfId="0" applyFont="1" applyFill="1" applyBorder="1" applyAlignment="1" applyProtection="1">
      <alignment vertical="center" wrapText="1"/>
      <protection locked="0"/>
    </xf>
    <xf numFmtId="0" fontId="10" fillId="0" borderId="0" xfId="0" applyFont="1"/>
    <xf numFmtId="0" fontId="9" fillId="0" borderId="0" xfId="0" applyFont="1" applyAlignment="1" applyProtection="1">
      <alignment vertical="top" wrapText="1"/>
    </xf>
    <xf numFmtId="0" fontId="10" fillId="0" borderId="0" xfId="9" applyFill="1" applyAlignment="1">
      <alignment vertical="center"/>
    </xf>
    <xf numFmtId="0" fontId="9" fillId="0" borderId="0" xfId="0" applyFont="1" applyAlignment="1" applyProtection="1">
      <alignment vertical="center" wrapText="1"/>
    </xf>
    <xf numFmtId="0" fontId="10" fillId="0" borderId="0" xfId="0" applyFont="1" applyAlignment="1">
      <alignment vertical="center"/>
    </xf>
    <xf numFmtId="0" fontId="11" fillId="0" borderId="0" xfId="13" applyFont="1"/>
    <xf numFmtId="0" fontId="12" fillId="0" borderId="0" xfId="13" applyFont="1"/>
    <xf numFmtId="0" fontId="67" fillId="0" borderId="0" xfId="2" applyAlignment="1" applyProtection="1"/>
    <xf numFmtId="0" fontId="4" fillId="0" borderId="0" xfId="0" applyFont="1" applyFill="1" applyProtection="1"/>
    <xf numFmtId="0" fontId="18" fillId="0" borderId="0" xfId="15"/>
    <xf numFmtId="0" fontId="19" fillId="0" borderId="0" xfId="15" applyFont="1"/>
    <xf numFmtId="0" fontId="20" fillId="0" borderId="0" xfId="15" applyFont="1" applyFill="1" applyAlignment="1">
      <alignment vertical="center"/>
    </xf>
    <xf numFmtId="0" fontId="20" fillId="0" borderId="0" xfId="15" applyFont="1" applyFill="1"/>
    <xf numFmtId="0" fontId="18" fillId="0" borderId="0" xfId="15" applyFill="1"/>
    <xf numFmtId="0" fontId="18" fillId="0" borderId="0" xfId="15" applyFill="1" applyBorder="1"/>
    <xf numFmtId="0" fontId="10" fillId="0" borderId="0" xfId="15" applyFont="1"/>
    <xf numFmtId="0" fontId="23" fillId="0" borderId="5" xfId="15" applyFont="1" applyBorder="1" applyAlignment="1">
      <alignment horizontal="left" vertical="center"/>
    </xf>
    <xf numFmtId="0" fontId="23" fillId="0" borderId="6" xfId="15" applyFont="1" applyBorder="1" applyAlignment="1">
      <alignment horizontal="left" vertical="center"/>
    </xf>
    <xf numFmtId="0" fontId="23" fillId="0" borderId="7" xfId="15" applyFont="1" applyBorder="1" applyAlignment="1">
      <alignment horizontal="left" vertical="center"/>
    </xf>
    <xf numFmtId="0" fontId="10" fillId="0" borderId="0" xfId="15" applyFont="1" applyFill="1" applyBorder="1"/>
    <xf numFmtId="0" fontId="3" fillId="0" borderId="8" xfId="15" applyFont="1" applyBorder="1" applyAlignment="1">
      <alignment horizontal="center" vertical="center" wrapText="1"/>
    </xf>
    <xf numFmtId="0" fontId="3" fillId="0" borderId="8" xfId="15" applyFont="1" applyBorder="1" applyAlignment="1">
      <alignment horizontal="left" vertical="center" wrapText="1"/>
    </xf>
    <xf numFmtId="0" fontId="23" fillId="0" borderId="8" xfId="15" quotePrefix="1" applyFont="1" applyBorder="1" applyAlignment="1">
      <alignment horizontal="center" vertical="center" wrapText="1"/>
    </xf>
    <xf numFmtId="0" fontId="10" fillId="0" borderId="9" xfId="15" applyFont="1" applyBorder="1" applyAlignment="1">
      <alignment vertical="center"/>
    </xf>
    <xf numFmtId="0" fontId="10" fillId="2" borderId="9" xfId="15" applyFont="1" applyFill="1" applyBorder="1" applyAlignment="1">
      <alignment vertical="center"/>
    </xf>
    <xf numFmtId="0" fontId="24" fillId="0" borderId="0" xfId="15" applyFont="1" applyFill="1" applyBorder="1" applyAlignment="1">
      <alignment horizontal="center" vertical="center"/>
    </xf>
    <xf numFmtId="0" fontId="3" fillId="0" borderId="8" xfId="15" quotePrefix="1" applyFont="1" applyBorder="1" applyAlignment="1">
      <alignment horizontal="center" vertical="center" wrapText="1"/>
    </xf>
    <xf numFmtId="0" fontId="3" fillId="3" borderId="8" xfId="15" applyFont="1" applyFill="1" applyBorder="1" applyAlignment="1">
      <alignment horizontal="left" vertical="center" wrapText="1"/>
    </xf>
    <xf numFmtId="0" fontId="3" fillId="3" borderId="8" xfId="15" applyFont="1" applyFill="1" applyBorder="1" applyAlignment="1">
      <alignment horizontal="center" vertical="center" wrapText="1"/>
    </xf>
    <xf numFmtId="14" fontId="3" fillId="3" borderId="8" xfId="15" quotePrefix="1" applyNumberFormat="1" applyFont="1" applyFill="1" applyBorder="1" applyAlignment="1">
      <alignment horizontal="center" vertical="center" wrapText="1"/>
    </xf>
    <xf numFmtId="14" fontId="3" fillId="0" borderId="8" xfId="15" quotePrefix="1" applyNumberFormat="1" applyFont="1" applyBorder="1" applyAlignment="1">
      <alignment horizontal="center" vertical="center" wrapText="1"/>
    </xf>
    <xf numFmtId="14" fontId="3" fillId="0" borderId="8" xfId="15" applyNumberFormat="1" applyFont="1" applyBorder="1" applyAlignment="1">
      <alignment horizontal="center" vertical="center" wrapText="1"/>
    </xf>
    <xf numFmtId="2" fontId="3" fillId="3" borderId="8" xfId="15" applyNumberFormat="1" applyFont="1" applyFill="1" applyBorder="1" applyAlignment="1">
      <alignment horizontal="center" vertical="center" wrapText="1"/>
    </xf>
    <xf numFmtId="0" fontId="10" fillId="0" borderId="9" xfId="15" applyFont="1" applyFill="1" applyBorder="1" applyAlignment="1">
      <alignment vertical="center"/>
    </xf>
    <xf numFmtId="0" fontId="25" fillId="0" borderId="0" xfId="15" applyFont="1" applyFill="1"/>
    <xf numFmtId="49" fontId="3" fillId="3" borderId="8" xfId="15" applyNumberFormat="1" applyFont="1" applyFill="1" applyBorder="1" applyAlignment="1">
      <alignment horizontal="center" vertical="center" wrapText="1"/>
    </xf>
    <xf numFmtId="0" fontId="26" fillId="3" borderId="8" xfId="4" applyFont="1" applyFill="1" applyBorder="1" applyAlignment="1" applyProtection="1">
      <alignment horizontal="left" vertical="center" wrapText="1"/>
    </xf>
    <xf numFmtId="2" fontId="3" fillId="3" borderId="8" xfId="15" quotePrefix="1" applyNumberFormat="1" applyFont="1" applyFill="1" applyBorder="1" applyAlignment="1">
      <alignment horizontal="center" vertical="center" wrapText="1"/>
    </xf>
    <xf numFmtId="0" fontId="10" fillId="0" borderId="0" xfId="15" applyFont="1" applyFill="1"/>
    <xf numFmtId="0" fontId="23" fillId="0" borderId="0" xfId="15" applyFont="1" applyFill="1" applyBorder="1" applyAlignment="1">
      <alignment horizontal="left" vertical="center"/>
    </xf>
    <xf numFmtId="0" fontId="24" fillId="0" borderId="0" xfId="15" applyFont="1"/>
    <xf numFmtId="0" fontId="10" fillId="0" borderId="0" xfId="15" applyFont="1" applyBorder="1"/>
    <xf numFmtId="0" fontId="29" fillId="0" borderId="0" xfId="15" applyFont="1" applyFill="1" applyBorder="1" applyAlignment="1">
      <alignment horizontal="center" vertical="center"/>
    </xf>
    <xf numFmtId="0" fontId="25" fillId="0" borderId="0" xfId="15" applyFont="1" applyFill="1" applyBorder="1" applyAlignment="1">
      <alignment horizontal="center" vertical="center"/>
    </xf>
    <xf numFmtId="0" fontId="30" fillId="0" borderId="0" xfId="15" applyFont="1" applyFill="1" applyBorder="1"/>
    <xf numFmtId="0" fontId="3" fillId="0" borderId="10" xfId="15" applyFont="1" applyBorder="1" applyAlignment="1">
      <alignment horizontal="center" vertical="center" wrapText="1"/>
    </xf>
    <xf numFmtId="0" fontId="3" fillId="0" borderId="10" xfId="15" applyFont="1" applyBorder="1" applyAlignment="1">
      <alignment horizontal="left" vertical="center" wrapText="1"/>
    </xf>
    <xf numFmtId="0" fontId="23" fillId="0" borderId="10" xfId="15" quotePrefix="1" applyFont="1" applyBorder="1" applyAlignment="1">
      <alignment horizontal="center" vertical="center" wrapText="1"/>
    </xf>
    <xf numFmtId="0" fontId="22" fillId="2" borderId="11" xfId="15" applyFont="1" applyFill="1" applyBorder="1" applyAlignment="1">
      <alignment horizontal="center" vertical="center" wrapText="1"/>
    </xf>
    <xf numFmtId="0" fontId="10" fillId="2" borderId="11" xfId="15" applyFont="1" applyFill="1" applyBorder="1" applyAlignment="1">
      <alignment vertical="center"/>
    </xf>
    <xf numFmtId="0" fontId="3" fillId="0" borderId="12" xfId="15" applyFont="1" applyBorder="1" applyAlignment="1">
      <alignment horizontal="center" vertical="center" wrapText="1"/>
    </xf>
    <xf numFmtId="0" fontId="3" fillId="0" borderId="12" xfId="15" applyFont="1" applyBorder="1" applyAlignment="1">
      <alignment horizontal="left" vertical="center" wrapText="1"/>
    </xf>
    <xf numFmtId="2" fontId="3" fillId="3" borderId="12" xfId="15" applyNumberFormat="1" applyFont="1" applyFill="1" applyBorder="1" applyAlignment="1">
      <alignment horizontal="center" vertical="center" wrapText="1"/>
    </xf>
    <xf numFmtId="43" fontId="3" fillId="0" borderId="3" xfId="6" applyFont="1" applyFill="1" applyBorder="1" applyAlignment="1" applyProtection="1">
      <alignment vertical="center"/>
      <protection locked="0"/>
    </xf>
    <xf numFmtId="0" fontId="45" fillId="0" borderId="0" xfId="0" applyFont="1"/>
    <xf numFmtId="0" fontId="46" fillId="0" borderId="13" xfId="0" applyFont="1" applyBorder="1" applyAlignment="1">
      <alignment horizontal="center"/>
    </xf>
    <xf numFmtId="0" fontId="46" fillId="0" borderId="13" xfId="0" applyFont="1" applyBorder="1"/>
    <xf numFmtId="0" fontId="3" fillId="0" borderId="14" xfId="0" applyFont="1" applyBorder="1" applyAlignment="1">
      <alignment horizontal="left" vertical="justify"/>
    </xf>
    <xf numFmtId="0" fontId="47" fillId="0" borderId="3" xfId="2" applyFont="1" applyFill="1" applyBorder="1" applyAlignment="1" applyProtection="1">
      <alignment vertical="center"/>
      <protection locked="0"/>
    </xf>
    <xf numFmtId="0" fontId="3" fillId="0" borderId="0" xfId="0" applyFont="1" applyProtection="1"/>
    <xf numFmtId="49" fontId="0" fillId="0" borderId="0" xfId="0" applyNumberFormat="1" applyFill="1" applyBorder="1" applyAlignment="1" applyProtection="1">
      <alignment horizontal="left"/>
      <protection locked="0"/>
    </xf>
    <xf numFmtId="0" fontId="0" fillId="0" borderId="0" xfId="0" applyBorder="1" applyAlignment="1">
      <alignment horizontal="left"/>
    </xf>
    <xf numFmtId="0" fontId="4" fillId="0" borderId="0" xfId="0" applyFont="1" applyBorder="1" applyAlignment="1" applyProtection="1"/>
    <xf numFmtId="0" fontId="16" fillId="0" borderId="0" xfId="0" applyFont="1" applyAlignment="1" applyProtection="1">
      <alignment vertical="top" wrapText="1"/>
    </xf>
    <xf numFmtId="0" fontId="10" fillId="0" borderId="0" xfId="9" applyFont="1" applyFill="1" applyAlignment="1">
      <alignment vertical="center"/>
    </xf>
    <xf numFmtId="1" fontId="3" fillId="0" borderId="3" xfId="0" applyNumberFormat="1" applyFont="1" applyFill="1" applyBorder="1" applyAlignment="1" applyProtection="1">
      <alignment horizontal="center" vertical="center"/>
      <protection locked="0"/>
    </xf>
    <xf numFmtId="0" fontId="3" fillId="0" borderId="3" xfId="0" applyFont="1" applyFill="1" applyBorder="1" applyAlignment="1" applyProtection="1">
      <alignment horizontal="center" vertical="center" wrapText="1"/>
      <protection locked="0"/>
    </xf>
    <xf numFmtId="166" fontId="3" fillId="0" borderId="3" xfId="0" applyNumberFormat="1" applyFont="1" applyFill="1" applyBorder="1" applyAlignment="1" applyProtection="1">
      <alignment horizontal="center" vertical="center"/>
      <protection locked="0"/>
    </xf>
    <xf numFmtId="43" fontId="3" fillId="0" borderId="3" xfId="7" applyFont="1" applyFill="1" applyBorder="1" applyAlignment="1" applyProtection="1">
      <alignment vertical="center"/>
      <protection locked="0"/>
    </xf>
    <xf numFmtId="43" fontId="3" fillId="0" borderId="3" xfId="7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Protection="1"/>
    <xf numFmtId="0" fontId="34" fillId="0" borderId="0" xfId="15" applyFont="1"/>
    <xf numFmtId="0" fontId="25" fillId="0" borderId="0" xfId="15" applyFont="1" applyFill="1" applyAlignment="1">
      <alignment vertical="center"/>
    </xf>
    <xf numFmtId="0" fontId="35" fillId="3" borderId="8" xfId="0" applyFont="1" applyFill="1" applyBorder="1" applyAlignment="1">
      <alignment horizontal="center" vertical="center" wrapText="1"/>
    </xf>
    <xf numFmtId="49" fontId="35" fillId="3" borderId="8" xfId="0" applyNumberFormat="1" applyFont="1" applyFill="1" applyBorder="1" applyAlignment="1">
      <alignment horizontal="center" vertical="center" wrapText="1"/>
    </xf>
    <xf numFmtId="0" fontId="0" fillId="0" borderId="15" xfId="0" applyBorder="1" applyAlignment="1">
      <alignment vertical="center"/>
    </xf>
    <xf numFmtId="0" fontId="36" fillId="0" borderId="5" xfId="0" applyFont="1" applyBorder="1" applyAlignment="1">
      <alignment horizontal="left" vertical="center"/>
    </xf>
    <xf numFmtId="0" fontId="36" fillId="0" borderId="6" xfId="0" applyFont="1" applyBorder="1" applyAlignment="1">
      <alignment horizontal="left" vertical="center"/>
    </xf>
    <xf numFmtId="0" fontId="36" fillId="0" borderId="7" xfId="0" applyFont="1" applyBorder="1" applyAlignment="1">
      <alignment horizontal="left" vertical="center"/>
    </xf>
    <xf numFmtId="0" fontId="37" fillId="0" borderId="8" xfId="0" applyFont="1" applyBorder="1" applyAlignment="1">
      <alignment horizontal="center" vertical="center" wrapText="1"/>
    </xf>
    <xf numFmtId="0" fontId="37" fillId="0" borderId="8" xfId="0" applyFont="1" applyBorder="1" applyAlignment="1">
      <alignment horizontal="left" vertical="center" wrapText="1"/>
    </xf>
    <xf numFmtId="49" fontId="36" fillId="0" borderId="8" xfId="0" applyNumberFormat="1" applyFont="1" applyBorder="1" applyAlignment="1">
      <alignment horizontal="center" vertical="center" wrapText="1"/>
    </xf>
    <xf numFmtId="0" fontId="0" fillId="0" borderId="9" xfId="0" applyBorder="1" applyAlignment="1">
      <alignment vertical="center"/>
    </xf>
    <xf numFmtId="49" fontId="37" fillId="0" borderId="8" xfId="0" applyNumberFormat="1" applyFont="1" applyBorder="1" applyAlignment="1">
      <alignment horizontal="center" vertical="center" wrapText="1"/>
    </xf>
    <xf numFmtId="0" fontId="0" fillId="0" borderId="9" xfId="0" applyFill="1" applyBorder="1" applyAlignment="1">
      <alignment vertical="center"/>
    </xf>
    <xf numFmtId="0" fontId="37" fillId="3" borderId="8" xfId="0" applyFont="1" applyFill="1" applyBorder="1" applyAlignment="1">
      <alignment horizontal="left" vertical="center" wrapText="1"/>
    </xf>
    <xf numFmtId="0" fontId="37" fillId="3" borderId="8" xfId="0" applyFont="1" applyFill="1" applyBorder="1" applyAlignment="1">
      <alignment horizontal="center" vertical="center" wrapText="1"/>
    </xf>
    <xf numFmtId="49" fontId="37" fillId="3" borderId="8" xfId="0" applyNumberFormat="1" applyFont="1" applyFill="1" applyBorder="1" applyAlignment="1">
      <alignment horizontal="center" vertical="center" wrapText="1"/>
    </xf>
    <xf numFmtId="49" fontId="37" fillId="3" borderId="8" xfId="0" applyNumberFormat="1" applyFont="1" applyFill="1" applyBorder="1" applyAlignment="1">
      <alignment horizontal="left" vertical="center" wrapText="1"/>
    </xf>
    <xf numFmtId="0" fontId="0" fillId="2" borderId="9" xfId="0" applyFill="1" applyBorder="1" applyAlignment="1">
      <alignment vertical="center"/>
    </xf>
    <xf numFmtId="49" fontId="38" fillId="3" borderId="8" xfId="4" applyNumberFormat="1" applyFont="1" applyFill="1" applyBorder="1" applyAlignment="1" applyProtection="1">
      <alignment horizontal="left" vertical="center" wrapText="1"/>
    </xf>
    <xf numFmtId="49" fontId="37" fillId="0" borderId="8" xfId="0" quotePrefix="1" applyNumberFormat="1" applyFont="1" applyBorder="1" applyAlignment="1">
      <alignment horizontal="center" vertical="center" wrapText="1"/>
    </xf>
    <xf numFmtId="0" fontId="3" fillId="0" borderId="0" xfId="15" applyFont="1" applyFill="1" applyBorder="1" applyAlignment="1">
      <alignment horizontal="center" vertical="center" wrapText="1"/>
    </xf>
    <xf numFmtId="0" fontId="3" fillId="0" borderId="0" xfId="15" applyFont="1" applyFill="1" applyBorder="1" applyAlignment="1">
      <alignment horizontal="left" vertical="center" wrapText="1"/>
    </xf>
    <xf numFmtId="14" fontId="3" fillId="0" borderId="0" xfId="15" quotePrefix="1" applyNumberFormat="1" applyFont="1" applyFill="1" applyBorder="1" applyAlignment="1">
      <alignment horizontal="center" vertical="center" wrapText="1"/>
    </xf>
    <xf numFmtId="0" fontId="10" fillId="0" borderId="0" xfId="15" applyFont="1" applyFill="1" applyBorder="1" applyAlignment="1">
      <alignment vertical="center"/>
    </xf>
    <xf numFmtId="0" fontId="24" fillId="0" borderId="16" xfId="15" applyFont="1" applyBorder="1"/>
    <xf numFmtId="0" fontId="23" fillId="0" borderId="16" xfId="15" applyFont="1" applyFill="1" applyBorder="1" applyAlignment="1">
      <alignment horizontal="left" vertical="center"/>
    </xf>
    <xf numFmtId="0" fontId="10" fillId="0" borderId="16" xfId="15" applyFont="1" applyBorder="1"/>
    <xf numFmtId="0" fontId="39" fillId="0" borderId="0" xfId="0" applyFont="1"/>
    <xf numFmtId="0" fontId="37" fillId="4" borderId="8" xfId="0" applyFont="1" applyFill="1" applyBorder="1" applyAlignment="1">
      <alignment horizontal="left" vertical="center" wrapText="1"/>
    </xf>
    <xf numFmtId="0" fontId="37" fillId="4" borderId="8" xfId="0" applyFont="1" applyFill="1" applyBorder="1" applyAlignment="1">
      <alignment horizontal="center" vertical="center" wrapText="1"/>
    </xf>
    <xf numFmtId="49" fontId="37" fillId="4" borderId="8" xfId="0" quotePrefix="1" applyNumberFormat="1" applyFont="1" applyFill="1" applyBorder="1" applyAlignment="1">
      <alignment horizontal="center" vertical="center" wrapText="1"/>
    </xf>
    <xf numFmtId="0" fontId="36" fillId="0" borderId="0" xfId="0" applyFont="1" applyFill="1" applyBorder="1" applyAlignment="1">
      <alignment horizontal="left" vertical="center"/>
    </xf>
    <xf numFmtId="0" fontId="40" fillId="0" borderId="0" xfId="0" applyFont="1"/>
    <xf numFmtId="0" fontId="0" fillId="0" borderId="0" xfId="0" applyBorder="1"/>
    <xf numFmtId="49" fontId="0" fillId="0" borderId="0" xfId="0" applyNumberFormat="1" applyBorder="1"/>
    <xf numFmtId="0" fontId="41" fillId="0" borderId="17" xfId="0" applyFont="1" applyBorder="1"/>
    <xf numFmtId="0" fontId="0" fillId="0" borderId="18" xfId="0" applyBorder="1"/>
    <xf numFmtId="49" fontId="0" fillId="0" borderId="19" xfId="0" applyNumberFormat="1" applyBorder="1"/>
    <xf numFmtId="0" fontId="0" fillId="2" borderId="0" xfId="0" applyFill="1" applyBorder="1"/>
    <xf numFmtId="0" fontId="41" fillId="0" borderId="0" xfId="0" applyFont="1" applyBorder="1"/>
    <xf numFmtId="0" fontId="37" fillId="0" borderId="0" xfId="0" applyFont="1" applyBorder="1" applyAlignment="1">
      <alignment horizontal="left" vertical="center"/>
    </xf>
    <xf numFmtId="0" fontId="37" fillId="0" borderId="0" xfId="0" applyFont="1" applyBorder="1" applyAlignment="1">
      <alignment horizontal="center" vertical="center" wrapText="1"/>
    </xf>
    <xf numFmtId="0" fontId="37" fillId="0" borderId="0" xfId="0" applyFont="1" applyBorder="1" applyAlignment="1">
      <alignment horizontal="left" vertical="center" wrapText="1"/>
    </xf>
    <xf numFmtId="49" fontId="37" fillId="0" borderId="0" xfId="0" applyNumberFormat="1" applyFont="1" applyBorder="1" applyAlignment="1">
      <alignment horizontal="left" vertical="center" wrapText="1"/>
    </xf>
    <xf numFmtId="0" fontId="37" fillId="0" borderId="0" xfId="0" applyFont="1" applyBorder="1" applyAlignment="1">
      <alignment vertical="center"/>
    </xf>
    <xf numFmtId="0" fontId="33" fillId="3" borderId="0" xfId="15" applyFont="1" applyFill="1" applyAlignment="1" applyProtection="1"/>
    <xf numFmtId="0" fontId="33" fillId="3" borderId="0" xfId="15" applyFont="1" applyFill="1" applyProtection="1"/>
    <xf numFmtId="0" fontId="29" fillId="0" borderId="0" xfId="15" applyFont="1" applyFill="1" applyBorder="1" applyAlignment="1" applyProtection="1">
      <alignment horizontal="left"/>
    </xf>
    <xf numFmtId="0" fontId="30" fillId="0" borderId="0" xfId="15" applyFont="1" applyFill="1" applyBorder="1" applyAlignment="1">
      <alignment horizontal="centerContinuous"/>
    </xf>
    <xf numFmtId="0" fontId="24" fillId="0" borderId="0" xfId="15" applyFont="1" applyFill="1" applyBorder="1" applyAlignment="1">
      <alignment horizontal="center" vertical="center" wrapText="1"/>
    </xf>
    <xf numFmtId="0" fontId="10" fillId="0" borderId="0" xfId="15" applyFont="1" applyFill="1" applyBorder="1" applyAlignment="1" applyProtection="1">
      <alignment vertical="center"/>
    </xf>
    <xf numFmtId="0" fontId="0" fillId="2" borderId="0" xfId="0" applyFill="1"/>
    <xf numFmtId="0" fontId="49" fillId="0" borderId="0" xfId="0" applyFont="1" applyProtection="1">
      <protection locked="0"/>
    </xf>
    <xf numFmtId="0" fontId="0" fillId="0" borderId="0" xfId="0" applyNumberFormat="1" applyProtection="1">
      <protection locked="0"/>
    </xf>
    <xf numFmtId="0" fontId="4" fillId="0" borderId="0" xfId="0" applyFont="1" applyProtection="1">
      <protection locked="0"/>
    </xf>
    <xf numFmtId="0" fontId="3" fillId="0" borderId="3" xfId="0" applyFont="1" applyFill="1" applyBorder="1" applyAlignment="1" applyProtection="1">
      <alignment wrapText="1"/>
      <protection locked="0"/>
    </xf>
    <xf numFmtId="0" fontId="3" fillId="0" borderId="3" xfId="0" applyFont="1" applyFill="1" applyBorder="1" applyProtection="1">
      <protection locked="0"/>
    </xf>
    <xf numFmtId="0" fontId="3" fillId="0" borderId="3" xfId="0" applyNumberFormat="1" applyFont="1" applyFill="1" applyBorder="1" applyAlignment="1" applyProtection="1">
      <alignment vertical="center"/>
      <protection hidden="1"/>
    </xf>
    <xf numFmtId="0" fontId="10" fillId="0" borderId="0" xfId="15" applyFont="1" applyAlignment="1">
      <alignment horizontal="center"/>
    </xf>
    <xf numFmtId="0" fontId="5" fillId="0" borderId="0" xfId="0" applyFont="1" applyAlignment="1">
      <alignment horizontal="center"/>
    </xf>
    <xf numFmtId="0" fontId="22" fillId="3" borderId="8" xfId="0" applyFont="1" applyFill="1" applyBorder="1" applyAlignment="1">
      <alignment horizontal="center" vertical="center" wrapText="1"/>
    </xf>
    <xf numFmtId="0" fontId="53" fillId="0" borderId="15" xfId="0" applyFont="1" applyBorder="1" applyAlignment="1">
      <alignment vertical="center"/>
    </xf>
    <xf numFmtId="0" fontId="23" fillId="0" borderId="5" xfId="0" applyFont="1" applyBorder="1" applyAlignment="1">
      <alignment horizontal="left" vertical="center"/>
    </xf>
    <xf numFmtId="0" fontId="23" fillId="0" borderId="6" xfId="0" applyFont="1" applyBorder="1" applyAlignment="1">
      <alignment horizontal="left" vertical="center"/>
    </xf>
    <xf numFmtId="0" fontId="2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left" vertical="center" wrapText="1"/>
    </xf>
    <xf numFmtId="0" fontId="23" fillId="0" borderId="8" xfId="0" quotePrefix="1" applyFont="1" applyBorder="1" applyAlignment="1">
      <alignment horizontal="center" vertical="center" wrapText="1"/>
    </xf>
    <xf numFmtId="0" fontId="53" fillId="0" borderId="9" xfId="0" applyFont="1" applyBorder="1" applyAlignment="1">
      <alignment vertical="center"/>
    </xf>
    <xf numFmtId="0" fontId="53" fillId="2" borderId="9" xfId="0" applyFont="1" applyFill="1" applyBorder="1" applyAlignment="1">
      <alignment vertical="center"/>
    </xf>
    <xf numFmtId="0" fontId="3" fillId="0" borderId="8" xfId="0" quotePrefix="1" applyFont="1" applyBorder="1" applyAlignment="1">
      <alignment horizontal="center" vertical="center" wrapText="1"/>
    </xf>
    <xf numFmtId="0" fontId="3" fillId="3" borderId="8" xfId="0" applyFont="1" applyFill="1" applyBorder="1" applyAlignment="1">
      <alignment horizontal="left" vertical="center" wrapText="1"/>
    </xf>
    <xf numFmtId="0" fontId="3" fillId="3" borderId="8" xfId="0" applyFont="1" applyFill="1" applyBorder="1" applyAlignment="1">
      <alignment horizontal="center" vertical="center" wrapText="1"/>
    </xf>
    <xf numFmtId="14" fontId="3" fillId="3" borderId="8" xfId="0" quotePrefix="1" applyNumberFormat="1" applyFont="1" applyFill="1" applyBorder="1" applyAlignment="1">
      <alignment horizontal="center" vertical="center" wrapText="1"/>
    </xf>
    <xf numFmtId="14" fontId="3" fillId="0" borderId="8" xfId="0" quotePrefix="1" applyNumberFormat="1" applyFont="1" applyBorder="1" applyAlignment="1">
      <alignment horizontal="center" vertical="center" wrapText="1"/>
    </xf>
    <xf numFmtId="14" fontId="3" fillId="0" borderId="8" xfId="0" applyNumberFormat="1" applyFont="1" applyBorder="1" applyAlignment="1">
      <alignment horizontal="center" vertical="center" wrapText="1"/>
    </xf>
    <xf numFmtId="0" fontId="3" fillId="4" borderId="8" xfId="0" applyFont="1" applyFill="1" applyBorder="1" applyAlignment="1">
      <alignment horizontal="left" vertical="center" wrapText="1"/>
    </xf>
    <xf numFmtId="0" fontId="3" fillId="4" borderId="8" xfId="0" applyFont="1" applyFill="1" applyBorder="1" applyAlignment="1">
      <alignment horizontal="center" vertical="center" wrapText="1"/>
    </xf>
    <xf numFmtId="2" fontId="3" fillId="3" borderId="8" xfId="0" applyNumberFormat="1" applyFont="1" applyFill="1" applyBorder="1" applyAlignment="1">
      <alignment horizontal="center" vertical="center" wrapText="1"/>
    </xf>
    <xf numFmtId="0" fontId="53" fillId="0" borderId="9" xfId="0" applyFont="1" applyFill="1" applyBorder="1" applyAlignment="1">
      <alignment vertical="center"/>
    </xf>
    <xf numFmtId="49" fontId="3" fillId="3" borderId="8" xfId="0" applyNumberFormat="1" applyFont="1" applyFill="1" applyBorder="1" applyAlignment="1">
      <alignment horizontal="center" vertical="center" wrapText="1"/>
    </xf>
    <xf numFmtId="0" fontId="3" fillId="4" borderId="8" xfId="0" quotePrefix="1" applyFont="1" applyFill="1" applyBorder="1" applyAlignment="1">
      <alignment horizontal="center" vertical="center" wrapText="1"/>
    </xf>
    <xf numFmtId="2" fontId="3" fillId="4" borderId="8" xfId="0" applyNumberFormat="1" applyFont="1" applyFill="1" applyBorder="1" applyAlignment="1">
      <alignment horizontal="center" vertical="center" wrapText="1"/>
    </xf>
    <xf numFmtId="0" fontId="3" fillId="4" borderId="20" xfId="0" applyFont="1" applyFill="1" applyBorder="1" applyAlignment="1">
      <alignment horizontal="left" vertical="center" wrapText="1"/>
    </xf>
    <xf numFmtId="0" fontId="3" fillId="4" borderId="20" xfId="0" applyFont="1" applyFill="1" applyBorder="1" applyAlignment="1">
      <alignment horizontal="center" vertical="center" wrapText="1"/>
    </xf>
    <xf numFmtId="0" fontId="53" fillId="4" borderId="0" xfId="0" applyFont="1" applyFill="1"/>
    <xf numFmtId="0" fontId="53" fillId="2" borderId="0" xfId="0" applyFont="1" applyFill="1" applyBorder="1"/>
    <xf numFmtId="2" fontId="3" fillId="3" borderId="8" xfId="0" quotePrefix="1" applyNumberFormat="1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left" vertical="center"/>
    </xf>
    <xf numFmtId="0" fontId="24" fillId="0" borderId="0" xfId="0" applyFont="1"/>
    <xf numFmtId="0" fontId="53" fillId="0" borderId="0" xfId="0" applyFont="1" applyBorder="1"/>
    <xf numFmtId="0" fontId="27" fillId="0" borderId="17" xfId="0" applyFont="1" applyBorder="1"/>
    <xf numFmtId="0" fontId="53" fillId="0" borderId="18" xfId="0" applyFont="1" applyBorder="1"/>
    <xf numFmtId="0" fontId="53" fillId="0" borderId="19" xfId="0" applyFont="1" applyBorder="1"/>
    <xf numFmtId="0" fontId="27" fillId="0" borderId="0" xfId="0" applyFont="1" applyBorder="1"/>
    <xf numFmtId="0" fontId="3" fillId="0" borderId="0" xfId="0" applyFont="1" applyBorder="1" applyAlignment="1">
      <alignment horizontal="left" vertic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left" vertical="center" wrapText="1"/>
    </xf>
    <xf numFmtId="0" fontId="53" fillId="0" borderId="0" xfId="0" applyFont="1" applyBorder="1" applyAlignment="1">
      <alignment horizontal="left"/>
    </xf>
    <xf numFmtId="0" fontId="3" fillId="0" borderId="0" xfId="0" applyFont="1" applyBorder="1" applyAlignment="1">
      <alignment vertical="center"/>
    </xf>
    <xf numFmtId="0" fontId="53" fillId="0" borderId="0" xfId="0" applyFont="1"/>
    <xf numFmtId="0" fontId="3" fillId="0" borderId="21" xfId="0" applyFont="1" applyFill="1" applyBorder="1" applyAlignment="1" applyProtection="1">
      <alignment vertical="center"/>
      <protection locked="0"/>
    </xf>
    <xf numFmtId="1" fontId="3" fillId="0" borderId="4" xfId="0" applyNumberFormat="1" applyFont="1" applyFill="1" applyBorder="1" applyAlignment="1" applyProtection="1">
      <alignment vertical="center"/>
      <protection locked="0"/>
    </xf>
    <xf numFmtId="49" fontId="3" fillId="0" borderId="4" xfId="0" applyNumberFormat="1" applyFont="1" applyFill="1" applyBorder="1" applyAlignment="1" applyProtection="1">
      <alignment vertical="center"/>
      <protection locked="0"/>
    </xf>
    <xf numFmtId="0" fontId="3" fillId="0" borderId="4" xfId="0" applyNumberFormat="1" applyFont="1" applyFill="1" applyBorder="1" applyAlignment="1" applyProtection="1">
      <alignment vertical="center"/>
      <protection hidden="1"/>
    </xf>
    <xf numFmtId="166" fontId="3" fillId="0" borderId="4" xfId="0" applyNumberFormat="1" applyFont="1" applyFill="1" applyBorder="1" applyAlignment="1" applyProtection="1">
      <alignment vertical="center"/>
      <protection locked="0"/>
    </xf>
    <xf numFmtId="167" fontId="3" fillId="0" borderId="4" xfId="0" applyNumberFormat="1" applyFont="1" applyFill="1" applyBorder="1" applyAlignment="1" applyProtection="1">
      <alignment vertical="center"/>
    </xf>
    <xf numFmtId="43" fontId="3" fillId="0" borderId="4" xfId="6" applyFont="1" applyFill="1" applyBorder="1" applyAlignment="1" applyProtection="1">
      <alignment vertical="center"/>
      <protection locked="0"/>
    </xf>
    <xf numFmtId="0" fontId="47" fillId="0" borderId="4" xfId="2" applyFont="1" applyFill="1" applyBorder="1" applyAlignment="1" applyProtection="1">
      <alignment vertical="center"/>
      <protection locked="0"/>
    </xf>
    <xf numFmtId="0" fontId="4" fillId="0" borderId="4" xfId="0" applyFont="1" applyFill="1" applyBorder="1" applyProtection="1"/>
    <xf numFmtId="43" fontId="3" fillId="0" borderId="22" xfId="6" applyFont="1" applyFill="1" applyBorder="1" applyAlignment="1" applyProtection="1">
      <alignment vertical="center"/>
      <protection locked="0"/>
    </xf>
    <xf numFmtId="0" fontId="3" fillId="0" borderId="23" xfId="0" applyFont="1" applyFill="1" applyBorder="1" applyAlignment="1" applyProtection="1">
      <alignment vertical="center"/>
      <protection locked="0"/>
    </xf>
    <xf numFmtId="1" fontId="3" fillId="0" borderId="24" xfId="0" applyNumberFormat="1" applyFont="1" applyFill="1" applyBorder="1" applyAlignment="1" applyProtection="1">
      <alignment vertical="center"/>
      <protection locked="0"/>
    </xf>
    <xf numFmtId="0" fontId="3" fillId="0" borderId="24" xfId="0" applyFont="1" applyFill="1" applyBorder="1" applyAlignment="1" applyProtection="1">
      <alignment vertical="center" wrapText="1"/>
      <protection locked="0"/>
    </xf>
    <xf numFmtId="49" fontId="3" fillId="0" borderId="24" xfId="0" applyNumberFormat="1" applyFont="1" applyFill="1" applyBorder="1" applyAlignment="1" applyProtection="1">
      <alignment vertical="center"/>
      <protection locked="0"/>
    </xf>
    <xf numFmtId="0" fontId="3" fillId="0" borderId="24" xfId="0" applyNumberFormat="1" applyFont="1" applyFill="1" applyBorder="1" applyAlignment="1" applyProtection="1">
      <alignment vertical="center"/>
      <protection hidden="1"/>
    </xf>
    <xf numFmtId="166" fontId="3" fillId="0" borderId="24" xfId="0" applyNumberFormat="1" applyFont="1" applyFill="1" applyBorder="1" applyAlignment="1" applyProtection="1">
      <alignment vertical="center"/>
      <protection locked="0"/>
    </xf>
    <xf numFmtId="167" fontId="3" fillId="0" borderId="24" xfId="0" applyNumberFormat="1" applyFont="1" applyFill="1" applyBorder="1" applyAlignment="1" applyProtection="1">
      <alignment vertical="center"/>
    </xf>
    <xf numFmtId="43" fontId="3" fillId="0" borderId="24" xfId="6" applyFont="1" applyFill="1" applyBorder="1" applyAlignment="1" applyProtection="1">
      <alignment vertical="center"/>
      <protection locked="0"/>
    </xf>
    <xf numFmtId="0" fontId="47" fillId="0" borderId="24" xfId="2" applyFont="1" applyFill="1" applyBorder="1" applyAlignment="1" applyProtection="1">
      <alignment vertical="center"/>
      <protection locked="0"/>
    </xf>
    <xf numFmtId="0" fontId="4" fillId="0" borderId="24" xfId="0" applyFont="1" applyFill="1" applyBorder="1" applyProtection="1"/>
    <xf numFmtId="43" fontId="3" fillId="0" borderId="25" xfId="6" applyFont="1" applyFill="1" applyBorder="1" applyAlignment="1" applyProtection="1">
      <alignment vertical="center"/>
      <protection locked="0"/>
    </xf>
    <xf numFmtId="0" fontId="51" fillId="0" borderId="4" xfId="0" applyFont="1" applyFill="1" applyBorder="1" applyAlignment="1" applyProtection="1">
      <alignment vertical="center" wrapText="1"/>
      <protection locked="0"/>
    </xf>
    <xf numFmtId="0" fontId="51" fillId="5" borderId="26" xfId="0" applyFont="1" applyFill="1" applyBorder="1" applyAlignment="1">
      <alignment horizontal="center" vertical="center" wrapText="1"/>
    </xf>
    <xf numFmtId="0" fontId="51" fillId="5" borderId="27" xfId="0" applyFont="1" applyFill="1" applyBorder="1" applyAlignment="1">
      <alignment horizontal="center" vertical="center" wrapText="1"/>
    </xf>
    <xf numFmtId="0" fontId="51" fillId="5" borderId="27" xfId="0" applyFont="1" applyFill="1" applyBorder="1" applyAlignment="1">
      <alignment horizontal="left" vertical="center" wrapText="1"/>
    </xf>
    <xf numFmtId="0" fontId="51" fillId="5" borderId="28" xfId="0" applyFont="1" applyFill="1" applyBorder="1" applyAlignment="1">
      <alignment horizontal="center" vertical="center" wrapText="1"/>
    </xf>
    <xf numFmtId="0" fontId="26" fillId="0" borderId="3" xfId="2" applyFont="1" applyFill="1" applyBorder="1" applyAlignment="1" applyProtection="1">
      <alignment vertical="center"/>
      <protection locked="0"/>
    </xf>
    <xf numFmtId="0" fontId="23" fillId="5" borderId="29" xfId="0" applyFont="1" applyFill="1" applyBorder="1" applyAlignment="1">
      <alignment horizontal="center" vertical="center"/>
    </xf>
    <xf numFmtId="49" fontId="3" fillId="0" borderId="3" xfId="0" applyNumberFormat="1" applyFont="1" applyFill="1" applyBorder="1" applyAlignment="1" applyProtection="1">
      <alignment vertical="center"/>
      <protection locked="0" hidden="1"/>
    </xf>
    <xf numFmtId="0" fontId="23" fillId="5" borderId="30" xfId="0" applyFont="1" applyFill="1" applyBorder="1" applyAlignment="1">
      <alignment horizontal="center" vertical="center"/>
    </xf>
    <xf numFmtId="0" fontId="7" fillId="0" borderId="0" xfId="0" applyFont="1" applyAlignment="1" applyProtection="1">
      <alignment vertical="top" wrapText="1"/>
    </xf>
    <xf numFmtId="49" fontId="3" fillId="6" borderId="3" xfId="0" applyNumberFormat="1" applyFont="1" applyFill="1" applyBorder="1" applyAlignment="1" applyProtection="1">
      <alignment vertical="center"/>
      <protection locked="0"/>
    </xf>
    <xf numFmtId="0" fontId="2" fillId="0" borderId="0" xfId="0" applyFont="1" applyFill="1"/>
    <xf numFmtId="49" fontId="3" fillId="6" borderId="3" xfId="0" applyNumberFormat="1" applyFont="1" applyFill="1" applyBorder="1" applyAlignment="1" applyProtection="1">
      <alignment vertical="center"/>
      <protection locked="0" hidden="1"/>
    </xf>
    <xf numFmtId="0" fontId="48" fillId="6" borderId="0" xfId="2" applyFont="1" applyFill="1" applyAlignment="1" applyProtection="1">
      <alignment horizontal="right" vertical="center"/>
    </xf>
    <xf numFmtId="0" fontId="9" fillId="6" borderId="0" xfId="0" applyFont="1" applyFill="1" applyAlignment="1" applyProtection="1">
      <alignment vertical="center" wrapText="1"/>
    </xf>
    <xf numFmtId="0" fontId="0" fillId="0" borderId="0" xfId="0" applyProtection="1"/>
    <xf numFmtId="0" fontId="10" fillId="0" borderId="0" xfId="0" applyFont="1" applyAlignment="1" applyProtection="1">
      <alignment vertical="center"/>
    </xf>
    <xf numFmtId="0" fontId="10" fillId="0" borderId="0" xfId="0" applyFont="1" applyProtection="1"/>
    <xf numFmtId="0" fontId="67" fillId="6" borderId="0" xfId="2" applyFill="1" applyAlignment="1" applyProtection="1">
      <alignment horizontal="right" vertical="center"/>
    </xf>
    <xf numFmtId="0" fontId="0" fillId="0" borderId="0" xfId="0" applyFill="1"/>
    <xf numFmtId="0" fontId="67" fillId="0" borderId="0" xfId="2" applyAlignment="1" applyProtection="1">
      <alignment horizontal="left"/>
    </xf>
    <xf numFmtId="0" fontId="55" fillId="0" borderId="0" xfId="0" applyFont="1" applyAlignment="1" applyProtection="1">
      <alignment vertical="top" wrapText="1"/>
    </xf>
    <xf numFmtId="0" fontId="56" fillId="0" borderId="3" xfId="2" applyFont="1" applyFill="1" applyBorder="1" applyAlignment="1" applyProtection="1">
      <alignment vertical="center"/>
      <protection locked="0"/>
    </xf>
    <xf numFmtId="0" fontId="67" fillId="0" borderId="3" xfId="2" applyFill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3" fillId="0" borderId="31" xfId="0" applyFont="1" applyFill="1" applyBorder="1" applyAlignment="1" applyProtection="1">
      <alignment vertical="center"/>
      <protection locked="0"/>
    </xf>
    <xf numFmtId="0" fontId="3" fillId="0" borderId="32" xfId="0" applyFont="1" applyFill="1" applyBorder="1" applyProtection="1">
      <protection locked="0"/>
    </xf>
    <xf numFmtId="0" fontId="51" fillId="5" borderId="33" xfId="0" applyFont="1" applyFill="1" applyBorder="1" applyAlignment="1" applyProtection="1">
      <alignment horizontal="center" vertical="center" wrapText="1"/>
    </xf>
    <xf numFmtId="0" fontId="51" fillId="5" borderId="34" xfId="0" applyFont="1" applyFill="1" applyBorder="1" applyAlignment="1" applyProtection="1">
      <alignment horizontal="center" vertical="center" wrapText="1"/>
    </xf>
    <xf numFmtId="0" fontId="51" fillId="5" borderId="35" xfId="0" applyFont="1" applyFill="1" applyBorder="1" applyAlignment="1" applyProtection="1">
      <alignment horizontal="center" vertical="center" wrapText="1"/>
    </xf>
    <xf numFmtId="0" fontId="3" fillId="0" borderId="36" xfId="0" applyFont="1" applyFill="1" applyBorder="1" applyAlignment="1" applyProtection="1">
      <alignment vertical="center"/>
      <protection locked="0"/>
    </xf>
    <xf numFmtId="49" fontId="3" fillId="0" borderId="37" xfId="0" applyNumberFormat="1" applyFont="1" applyFill="1" applyBorder="1" applyAlignment="1" applyProtection="1">
      <alignment vertical="center"/>
      <protection locked="0"/>
    </xf>
    <xf numFmtId="1" fontId="3" fillId="0" borderId="37" xfId="0" applyNumberFormat="1" applyFont="1" applyFill="1" applyBorder="1" applyAlignment="1" applyProtection="1">
      <alignment horizontal="center" vertical="center"/>
      <protection locked="0"/>
    </xf>
    <xf numFmtId="1" fontId="3" fillId="0" borderId="37" xfId="0" applyNumberFormat="1" applyFont="1" applyFill="1" applyBorder="1" applyAlignment="1" applyProtection="1">
      <alignment vertical="center"/>
      <protection locked="0"/>
    </xf>
    <xf numFmtId="0" fontId="3" fillId="0" borderId="37" xfId="0" applyFont="1" applyFill="1" applyBorder="1" applyAlignment="1" applyProtection="1">
      <alignment horizontal="center" vertical="center" wrapText="1"/>
      <protection locked="0"/>
    </xf>
    <xf numFmtId="0" fontId="3" fillId="0" borderId="37" xfId="0" applyNumberFormat="1" applyFont="1" applyFill="1" applyBorder="1" applyAlignment="1" applyProtection="1">
      <alignment vertical="center"/>
      <protection hidden="1"/>
    </xf>
    <xf numFmtId="166" fontId="3" fillId="0" borderId="37" xfId="0" applyNumberFormat="1" applyFont="1" applyFill="1" applyBorder="1" applyAlignment="1" applyProtection="1">
      <alignment horizontal="center" vertical="center"/>
      <protection locked="0"/>
    </xf>
    <xf numFmtId="43" fontId="3" fillId="0" borderId="37" xfId="7" applyFont="1" applyFill="1" applyBorder="1" applyAlignment="1" applyProtection="1">
      <alignment vertical="center"/>
      <protection locked="0"/>
    </xf>
    <xf numFmtId="43" fontId="3" fillId="0" borderId="37" xfId="7" applyFont="1" applyFill="1" applyBorder="1" applyAlignment="1" applyProtection="1">
      <alignment horizontal="center" vertical="center"/>
      <protection hidden="1"/>
    </xf>
    <xf numFmtId="0" fontId="47" fillId="0" borderId="37" xfId="2" applyFont="1" applyFill="1" applyBorder="1" applyAlignment="1" applyProtection="1">
      <alignment vertical="center"/>
      <protection locked="0"/>
    </xf>
    <xf numFmtId="0" fontId="3" fillId="0" borderId="37" xfId="0" applyFont="1" applyFill="1" applyBorder="1" applyProtection="1">
      <protection locked="0"/>
    </xf>
    <xf numFmtId="0" fontId="3" fillId="0" borderId="37" xfId="0" applyFont="1" applyFill="1" applyBorder="1" applyAlignment="1" applyProtection="1">
      <alignment wrapText="1"/>
      <protection locked="0"/>
    </xf>
    <xf numFmtId="0" fontId="3" fillId="0" borderId="38" xfId="0" applyFont="1" applyFill="1" applyBorder="1" applyProtection="1">
      <protection locked="0"/>
    </xf>
    <xf numFmtId="0" fontId="67" fillId="0" borderId="0" xfId="2" applyAlignment="1" applyProtection="1">
      <alignment horizontal="left"/>
    </xf>
    <xf numFmtId="49" fontId="3" fillId="0" borderId="3" xfId="0" applyNumberFormat="1" applyFont="1" applyFill="1" applyBorder="1" applyAlignment="1" applyProtection="1">
      <alignment horizontal="right" vertical="center"/>
      <protection locked="0"/>
    </xf>
    <xf numFmtId="0" fontId="0" fillId="8" borderId="0" xfId="0" applyFill="1"/>
    <xf numFmtId="0" fontId="0" fillId="9" borderId="0" xfId="0" applyFill="1"/>
    <xf numFmtId="0" fontId="4" fillId="0" borderId="0" xfId="0" applyFont="1" applyBorder="1" applyAlignment="1" applyProtection="1">
      <alignment horizontal="center" vertical="center"/>
    </xf>
    <xf numFmtId="0" fontId="4" fillId="0" borderId="0" xfId="0" applyFont="1" applyFill="1" applyBorder="1" applyAlignment="1" applyProtection="1">
      <alignment horizontal="center" vertical="center"/>
      <protection locked="0"/>
    </xf>
    <xf numFmtId="1" fontId="4" fillId="0" borderId="0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4" fillId="0" borderId="0" xfId="0" applyFont="1" applyBorder="1" applyAlignment="1" applyProtection="1">
      <alignment vertical="top"/>
    </xf>
    <xf numFmtId="49" fontId="0" fillId="0" borderId="0" xfId="0" applyNumberFormat="1" applyFill="1" applyBorder="1" applyAlignment="1" applyProtection="1">
      <alignment horizontal="left" vertical="center"/>
      <protection locked="0"/>
    </xf>
    <xf numFmtId="166" fontId="4" fillId="0" borderId="0" xfId="0" applyNumberFormat="1" applyFont="1" applyFill="1" applyBorder="1" applyAlignment="1" applyProtection="1">
      <alignment vertical="center"/>
      <protection locked="0"/>
    </xf>
    <xf numFmtId="0" fontId="36" fillId="0" borderId="8" xfId="0" quotePrefix="1" applyFont="1" applyBorder="1" applyAlignment="1">
      <alignment horizontal="center" vertical="center" wrapText="1"/>
    </xf>
    <xf numFmtId="0" fontId="37" fillId="0" borderId="8" xfId="0" quotePrefix="1" applyFont="1" applyBorder="1" applyAlignment="1">
      <alignment horizontal="center" vertical="center" wrapText="1"/>
    </xf>
    <xf numFmtId="14" fontId="37" fillId="3" borderId="8" xfId="0" quotePrefix="1" applyNumberFormat="1" applyFont="1" applyFill="1" applyBorder="1" applyAlignment="1">
      <alignment horizontal="center" vertical="center" wrapText="1"/>
    </xf>
    <xf numFmtId="14" fontId="37" fillId="0" borderId="8" xfId="0" quotePrefix="1" applyNumberFormat="1" applyFont="1" applyBorder="1" applyAlignment="1">
      <alignment horizontal="center" vertical="center" wrapText="1"/>
    </xf>
    <xf numFmtId="14" fontId="37" fillId="0" borderId="8" xfId="0" applyNumberFormat="1" applyFont="1" applyBorder="1" applyAlignment="1">
      <alignment horizontal="center" vertical="center" wrapText="1"/>
    </xf>
    <xf numFmtId="2" fontId="37" fillId="3" borderId="8" xfId="0" applyNumberFormat="1" applyFont="1" applyFill="1" applyBorder="1" applyAlignment="1">
      <alignment horizontal="center" vertical="center" wrapText="1"/>
    </xf>
    <xf numFmtId="0" fontId="38" fillId="3" borderId="8" xfId="4" applyFont="1" applyFill="1" applyBorder="1" applyAlignment="1" applyProtection="1">
      <alignment horizontal="left" vertical="center" wrapText="1"/>
    </xf>
    <xf numFmtId="0" fontId="0" fillId="0" borderId="10" xfId="0" applyBorder="1" applyAlignment="1">
      <alignment vertical="center"/>
    </xf>
    <xf numFmtId="0" fontId="35" fillId="9" borderId="8" xfId="0" applyFont="1" applyFill="1" applyBorder="1" applyAlignment="1">
      <alignment horizontal="center" vertical="center" wrapText="1"/>
    </xf>
    <xf numFmtId="0" fontId="37" fillId="4" borderId="8" xfId="0" quotePrefix="1" applyFont="1" applyFill="1" applyBorder="1" applyAlignment="1">
      <alignment horizontal="center" vertical="center" wrapText="1"/>
    </xf>
    <xf numFmtId="2" fontId="37" fillId="4" borderId="8" xfId="0" applyNumberFormat="1" applyFont="1" applyFill="1" applyBorder="1" applyAlignment="1">
      <alignment horizontal="center" vertical="center" wrapText="1"/>
    </xf>
    <xf numFmtId="0" fontId="37" fillId="4" borderId="20" xfId="0" applyFont="1" applyFill="1" applyBorder="1" applyAlignment="1">
      <alignment horizontal="left" vertical="center" wrapText="1"/>
    </xf>
    <xf numFmtId="0" fontId="37" fillId="4" borderId="20" xfId="0" applyFont="1" applyFill="1" applyBorder="1" applyAlignment="1">
      <alignment horizontal="center" vertical="center" wrapText="1"/>
    </xf>
    <xf numFmtId="0" fontId="0" fillId="4" borderId="0" xfId="0" applyFill="1"/>
    <xf numFmtId="0" fontId="37" fillId="0" borderId="5" xfId="0" applyFont="1" applyBorder="1" applyAlignment="1">
      <alignment horizontal="center" vertical="center" wrapText="1"/>
    </xf>
    <xf numFmtId="2" fontId="37" fillId="3" borderId="8" xfId="0" quotePrefix="1" applyNumberFormat="1" applyFont="1" applyFill="1" applyBorder="1" applyAlignment="1">
      <alignment horizontal="center" vertical="center" wrapText="1"/>
    </xf>
    <xf numFmtId="0" fontId="0" fillId="0" borderId="19" xfId="0" applyBorder="1"/>
    <xf numFmtId="0" fontId="42" fillId="0" borderId="17" xfId="0" applyFont="1" applyBorder="1"/>
    <xf numFmtId="0" fontId="53" fillId="2" borderId="39" xfId="0" applyFont="1" applyFill="1" applyBorder="1"/>
    <xf numFmtId="0" fontId="53" fillId="0" borderId="66" xfId="0" applyFont="1" applyBorder="1"/>
    <xf numFmtId="0" fontId="69" fillId="0" borderId="0" xfId="0" applyFont="1" applyAlignment="1" applyProtection="1">
      <alignment vertical="top" wrapText="1"/>
    </xf>
    <xf numFmtId="0" fontId="45" fillId="0" borderId="0" xfId="0" applyFont="1" applyBorder="1"/>
    <xf numFmtId="0" fontId="70" fillId="10" borderId="40" xfId="0" applyFont="1" applyFill="1" applyBorder="1" applyAlignment="1">
      <alignment horizontal="center" vertical="center"/>
    </xf>
    <xf numFmtId="0" fontId="70" fillId="10" borderId="67" xfId="0" applyFont="1" applyFill="1" applyBorder="1" applyAlignment="1">
      <alignment horizontal="center" vertical="center"/>
    </xf>
    <xf numFmtId="0" fontId="31" fillId="0" borderId="0" xfId="0" applyFont="1" applyBorder="1" applyProtection="1"/>
    <xf numFmtId="0" fontId="31" fillId="0" borderId="0" xfId="0" applyFont="1" applyProtection="1"/>
    <xf numFmtId="0" fontId="71" fillId="0" borderId="0" xfId="0" applyFont="1" applyAlignment="1" applyProtection="1">
      <alignment wrapText="1"/>
    </xf>
    <xf numFmtId="0" fontId="46" fillId="0" borderId="13" xfId="0" applyFont="1" applyFill="1" applyBorder="1"/>
    <xf numFmtId="0" fontId="0" fillId="0" borderId="0" xfId="0" applyBorder="1" applyAlignment="1" applyProtection="1">
      <alignment horizontal="left" vertical="top"/>
    </xf>
    <xf numFmtId="1" fontId="4" fillId="0" borderId="0" xfId="0" applyNumberFormat="1" applyFont="1" applyFill="1" applyBorder="1" applyAlignment="1" applyProtection="1">
      <alignment vertical="center"/>
    </xf>
    <xf numFmtId="166" fontId="4" fillId="0" borderId="0" xfId="0" applyNumberFormat="1" applyFont="1" applyFill="1" applyBorder="1" applyAlignment="1" applyProtection="1">
      <alignment vertical="center"/>
    </xf>
    <xf numFmtId="49" fontId="4" fillId="0" borderId="0" xfId="0" applyNumberFormat="1" applyFont="1" applyFill="1" applyBorder="1" applyAlignment="1" applyProtection="1">
      <alignment horizontal="left" vertical="top"/>
    </xf>
    <xf numFmtId="0" fontId="0" fillId="0" borderId="0" xfId="0" applyBorder="1" applyAlignment="1" applyProtection="1">
      <alignment horizontal="center" vertical="center"/>
    </xf>
    <xf numFmtId="49" fontId="4" fillId="0" borderId="0" xfId="0" applyNumberFormat="1" applyFont="1" applyFill="1" applyBorder="1" applyAlignment="1" applyProtection="1">
      <alignment horizontal="center" vertical="center"/>
    </xf>
    <xf numFmtId="166" fontId="4" fillId="0" borderId="0" xfId="0" applyNumberFormat="1" applyFont="1" applyBorder="1" applyAlignment="1" applyProtection="1">
      <alignment vertical="top"/>
    </xf>
    <xf numFmtId="166" fontId="4" fillId="0" borderId="0" xfId="0" applyNumberFormat="1" applyFont="1" applyBorder="1" applyAlignment="1" applyProtection="1">
      <alignment horizontal="center" vertical="center"/>
    </xf>
    <xf numFmtId="0" fontId="44" fillId="10" borderId="41" xfId="0" applyFont="1" applyFill="1" applyBorder="1" applyAlignment="1" applyProtection="1">
      <alignment horizontal="center" vertical="center" wrapText="1"/>
    </xf>
    <xf numFmtId="0" fontId="44" fillId="10" borderId="42" xfId="0" applyFont="1" applyFill="1" applyBorder="1" applyAlignment="1" applyProtection="1">
      <alignment horizontal="center" vertical="center" wrapText="1"/>
    </xf>
    <xf numFmtId="0" fontId="59" fillId="0" borderId="0" xfId="0" applyFont="1" applyAlignment="1" applyProtection="1">
      <alignment vertical="top" wrapText="1"/>
    </xf>
    <xf numFmtId="0" fontId="0" fillId="0" borderId="0" xfId="0" applyAlignment="1"/>
    <xf numFmtId="0" fontId="61" fillId="0" borderId="0" xfId="0" applyFont="1"/>
    <xf numFmtId="0" fontId="60" fillId="0" borderId="0" xfId="4" applyFont="1" applyAlignment="1" applyProtection="1">
      <protection locked="0"/>
    </xf>
    <xf numFmtId="0" fontId="0" fillId="0" borderId="68" xfId="0" applyBorder="1" applyAlignment="1">
      <alignment vertical="center"/>
    </xf>
    <xf numFmtId="0" fontId="6" fillId="0" borderId="0" xfId="0" applyFont="1" applyFill="1" applyBorder="1" applyAlignment="1" applyProtection="1"/>
    <xf numFmtId="0" fontId="72" fillId="0" borderId="0" xfId="0" applyFont="1" applyFill="1" applyBorder="1" applyAlignment="1" applyProtection="1">
      <alignment horizontal="center" vertical="justify"/>
    </xf>
    <xf numFmtId="0" fontId="31" fillId="0" borderId="0" xfId="0" applyFont="1" applyAlignment="1" applyProtection="1">
      <alignment wrapText="1"/>
    </xf>
    <xf numFmtId="43" fontId="3" fillId="0" borderId="0" xfId="6" applyFont="1" applyFill="1" applyBorder="1" applyAlignment="1" applyProtection="1">
      <alignment vertical="center"/>
      <protection locked="0"/>
    </xf>
    <xf numFmtId="0" fontId="4" fillId="0" borderId="0" xfId="0" applyFont="1" applyAlignment="1" applyProtection="1">
      <alignment wrapText="1"/>
      <protection locked="0"/>
    </xf>
    <xf numFmtId="0" fontId="6" fillId="0" borderId="0" xfId="0" applyFont="1" applyFill="1" applyBorder="1" applyAlignment="1" applyProtection="1">
      <protection locked="0"/>
    </xf>
    <xf numFmtId="0" fontId="72" fillId="0" borderId="0" xfId="0" applyFont="1" applyFill="1" applyBorder="1" applyAlignment="1" applyProtection="1">
      <alignment horizontal="center" vertical="justify"/>
      <protection locked="0"/>
    </xf>
    <xf numFmtId="0" fontId="4" fillId="0" borderId="0" xfId="0" applyFont="1" applyBorder="1" applyAlignment="1" applyProtection="1">
      <alignment horizontal="center" vertical="center"/>
      <protection locked="0"/>
    </xf>
    <xf numFmtId="0" fontId="3" fillId="6" borderId="3" xfId="0" applyNumberFormat="1" applyFont="1" applyFill="1" applyBorder="1" applyAlignment="1" applyProtection="1">
      <alignment vertical="center"/>
      <protection locked="0" hidden="1"/>
    </xf>
    <xf numFmtId="167" fontId="3" fillId="0" borderId="3" xfId="0" applyNumberFormat="1" applyFont="1" applyFill="1" applyBorder="1" applyAlignment="1" applyProtection="1">
      <alignment vertical="center"/>
      <protection locked="0"/>
    </xf>
    <xf numFmtId="0" fontId="3" fillId="0" borderId="0" xfId="0" applyFont="1" applyAlignment="1" applyProtection="1">
      <alignment wrapText="1"/>
      <protection locked="0"/>
    </xf>
    <xf numFmtId="0" fontId="4" fillId="0" borderId="0" xfId="0" applyFont="1" applyFill="1" applyProtection="1">
      <protection locked="0"/>
    </xf>
    <xf numFmtId="0" fontId="3" fillId="0" borderId="0" xfId="0" applyFont="1" applyProtection="1">
      <protection locked="0"/>
    </xf>
    <xf numFmtId="0" fontId="4" fillId="6" borderId="0" xfId="0" applyFont="1" applyFill="1" applyAlignment="1" applyProtection="1">
      <alignment wrapText="1"/>
      <protection locked="0"/>
    </xf>
    <xf numFmtId="0" fontId="4" fillId="6" borderId="0" xfId="0" applyFont="1" applyFill="1" applyProtection="1">
      <protection locked="0"/>
    </xf>
    <xf numFmtId="0" fontId="4" fillId="0" borderId="0" xfId="0" applyFont="1" applyFill="1" applyBorder="1" applyProtection="1">
      <protection locked="0"/>
    </xf>
    <xf numFmtId="0" fontId="6" fillId="0" borderId="0" xfId="0" applyFont="1" applyFill="1" applyBorder="1" applyAlignment="1" applyProtection="1">
      <alignment vertical="center"/>
      <protection locked="0"/>
    </xf>
    <xf numFmtId="0" fontId="73" fillId="0" borderId="0" xfId="0" applyFont="1" applyBorder="1" applyAlignment="1" applyProtection="1">
      <alignment horizontal="center"/>
      <protection locked="0"/>
    </xf>
    <xf numFmtId="0" fontId="72" fillId="0" borderId="0" xfId="0" applyFont="1" applyBorder="1" applyAlignment="1" applyProtection="1">
      <alignment horizontal="center"/>
      <protection locked="0"/>
    </xf>
    <xf numFmtId="0" fontId="72" fillId="0" borderId="0" xfId="0" applyFont="1" applyFill="1" applyBorder="1" applyAlignment="1" applyProtection="1">
      <alignment horizontal="center" wrapText="1"/>
      <protection locked="0"/>
    </xf>
    <xf numFmtId="0" fontId="74" fillId="0" borderId="0" xfId="0" applyFont="1" applyFill="1" applyBorder="1" applyAlignment="1" applyProtection="1">
      <alignment horizontal="center" vertical="justify"/>
      <protection locked="0"/>
    </xf>
    <xf numFmtId="0" fontId="73" fillId="0" borderId="0" xfId="0" applyFont="1" applyFill="1" applyBorder="1" applyAlignment="1" applyProtection="1">
      <alignment horizontal="center"/>
      <protection locked="0"/>
    </xf>
    <xf numFmtId="0" fontId="4" fillId="0" borderId="0" xfId="0" applyFont="1" applyBorder="1" applyAlignment="1" applyProtection="1">
      <alignment vertical="center"/>
      <protection locked="0"/>
    </xf>
    <xf numFmtId="166" fontId="3" fillId="0" borderId="0" xfId="0" applyNumberFormat="1" applyFont="1" applyFill="1" applyBorder="1" applyAlignment="1" applyProtection="1">
      <alignment horizontal="center" vertical="center"/>
      <protection locked="0"/>
    </xf>
    <xf numFmtId="0" fontId="4" fillId="6" borderId="0" xfId="0" applyFont="1" applyFill="1" applyBorder="1" applyAlignment="1" applyProtection="1">
      <alignment vertical="center"/>
      <protection locked="0"/>
    </xf>
    <xf numFmtId="0" fontId="4" fillId="0" borderId="0" xfId="0" applyFont="1" applyFill="1" applyBorder="1" applyAlignment="1" applyProtection="1">
      <alignment vertical="center"/>
      <protection locked="0"/>
    </xf>
    <xf numFmtId="0" fontId="4" fillId="0" borderId="0" xfId="0" applyFont="1" applyAlignment="1" applyProtection="1">
      <protection locked="0"/>
    </xf>
    <xf numFmtId="0" fontId="10" fillId="0" borderId="0" xfId="9" applyFill="1" applyAlignment="1" applyProtection="1">
      <alignment vertical="center"/>
    </xf>
    <xf numFmtId="0" fontId="2" fillId="0" borderId="0" xfId="0" applyFont="1" applyProtection="1"/>
    <xf numFmtId="0" fontId="2" fillId="0" borderId="0" xfId="0" applyFont="1" applyAlignment="1" applyProtection="1">
      <alignment wrapText="1"/>
    </xf>
    <xf numFmtId="0" fontId="7" fillId="0" borderId="0" xfId="0" applyFont="1" applyProtection="1"/>
    <xf numFmtId="0" fontId="5" fillId="0" borderId="0" xfId="0" applyFont="1" applyAlignment="1" applyProtection="1"/>
    <xf numFmtId="0" fontId="2" fillId="6" borderId="0" xfId="0" applyFont="1" applyFill="1" applyAlignment="1" applyProtection="1">
      <alignment wrapText="1"/>
    </xf>
    <xf numFmtId="0" fontId="2" fillId="6" borderId="0" xfId="0" applyFont="1" applyFill="1" applyProtection="1"/>
    <xf numFmtId="0" fontId="2" fillId="0" borderId="0" xfId="0" applyFont="1" applyFill="1" applyProtection="1"/>
    <xf numFmtId="0" fontId="2" fillId="0" borderId="0" xfId="0" quotePrefix="1" applyFont="1" applyFill="1" applyAlignment="1" applyProtection="1">
      <alignment wrapText="1"/>
    </xf>
    <xf numFmtId="0" fontId="2" fillId="0" borderId="0" xfId="0" applyFont="1" applyFill="1" applyAlignment="1" applyProtection="1">
      <alignment wrapText="1"/>
    </xf>
    <xf numFmtId="0" fontId="2" fillId="0" borderId="0" xfId="0" applyFont="1" applyFill="1" applyBorder="1" applyProtection="1"/>
    <xf numFmtId="0" fontId="6" fillId="0" borderId="0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 vertical="center"/>
    </xf>
    <xf numFmtId="0" fontId="15" fillId="0" borderId="0" xfId="0" applyFont="1" applyFill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vertical="top"/>
    </xf>
    <xf numFmtId="0" fontId="72" fillId="0" borderId="0" xfId="0" applyFont="1" applyFill="1" applyBorder="1" applyAlignment="1" applyProtection="1">
      <alignment horizontal="center" vertical="top"/>
    </xf>
    <xf numFmtId="0" fontId="2" fillId="0" borderId="0" xfId="0" applyFont="1" applyBorder="1" applyAlignment="1" applyProtection="1">
      <alignment vertical="top"/>
    </xf>
    <xf numFmtId="1" fontId="4" fillId="0" borderId="0" xfId="0" applyNumberFormat="1" applyFont="1" applyBorder="1" applyAlignment="1" applyProtection="1">
      <alignment horizontal="left" vertical="top"/>
    </xf>
    <xf numFmtId="167" fontId="4" fillId="0" borderId="0" xfId="0" applyNumberFormat="1" applyFont="1" applyBorder="1" applyAlignment="1" applyProtection="1">
      <alignment vertical="top"/>
    </xf>
    <xf numFmtId="0" fontId="15" fillId="0" borderId="0" xfId="0" applyFont="1" applyBorder="1" applyAlignment="1" applyProtection="1">
      <alignment horizontal="left" vertical="top"/>
    </xf>
    <xf numFmtId="0" fontId="16" fillId="0" borderId="0" xfId="0" applyFont="1" applyBorder="1" applyAlignment="1" applyProtection="1">
      <alignment horizontal="left" vertical="top"/>
    </xf>
    <xf numFmtId="43" fontId="4" fillId="0" borderId="0" xfId="0" applyNumberFormat="1" applyFont="1" applyBorder="1" applyAlignment="1" applyProtection="1">
      <alignment vertical="top"/>
    </xf>
    <xf numFmtId="0" fontId="2" fillId="0" borderId="0" xfId="0" applyFont="1" applyAlignment="1" applyProtection="1">
      <alignment vertical="top"/>
    </xf>
    <xf numFmtId="1" fontId="4" fillId="0" borderId="0" xfId="0" applyNumberFormat="1" applyFont="1" applyBorder="1" applyAlignment="1" applyProtection="1">
      <alignment horizontal="center" vertical="center"/>
    </xf>
    <xf numFmtId="167" fontId="4" fillId="0" borderId="0" xfId="0" applyNumberFormat="1" applyFont="1" applyBorder="1" applyAlignment="1" applyProtection="1">
      <alignment horizontal="center" vertical="center"/>
    </xf>
    <xf numFmtId="0" fontId="15" fillId="0" borderId="0" xfId="0" applyFont="1" applyBorder="1" applyAlignment="1" applyProtection="1">
      <alignment horizontal="center" vertical="center"/>
    </xf>
    <xf numFmtId="0" fontId="16" fillId="0" borderId="0" xfId="0" applyFont="1" applyBorder="1" applyAlignment="1" applyProtection="1">
      <alignment horizontal="center" vertical="center"/>
    </xf>
    <xf numFmtId="43" fontId="4" fillId="0" borderId="0" xfId="0" applyNumberFormat="1" applyFont="1" applyBorder="1" applyAlignment="1" applyProtection="1">
      <alignment horizontal="center" vertical="center"/>
    </xf>
    <xf numFmtId="0" fontId="2" fillId="0" borderId="0" xfId="0" applyFont="1" applyBorder="1" applyProtection="1"/>
    <xf numFmtId="0" fontId="2" fillId="0" borderId="0" xfId="0" applyFont="1" applyBorder="1" applyAlignment="1" applyProtection="1">
      <alignment wrapText="1"/>
    </xf>
    <xf numFmtId="0" fontId="69" fillId="0" borderId="0" xfId="0" applyFont="1" applyFill="1" applyBorder="1" applyAlignment="1" applyProtection="1">
      <alignment horizontal="left"/>
    </xf>
    <xf numFmtId="0" fontId="6" fillId="10" borderId="69" xfId="0" applyFont="1" applyFill="1" applyBorder="1" applyAlignment="1" applyProtection="1">
      <alignment horizontal="center" vertical="center" wrapText="1"/>
    </xf>
    <xf numFmtId="0" fontId="6" fillId="10" borderId="43" xfId="0" applyFont="1" applyFill="1" applyBorder="1" applyAlignment="1" applyProtection="1">
      <alignment horizontal="center" vertical="center" wrapText="1"/>
    </xf>
    <xf numFmtId="0" fontId="57" fillId="10" borderId="42" xfId="0" applyFont="1" applyFill="1" applyBorder="1" applyAlignment="1" applyProtection="1">
      <alignment horizontal="center" vertical="center" wrapText="1"/>
    </xf>
    <xf numFmtId="0" fontId="6" fillId="10" borderId="42" xfId="0" applyFont="1" applyFill="1" applyBorder="1" applyAlignment="1" applyProtection="1">
      <alignment horizontal="center" vertical="center" wrapText="1"/>
    </xf>
    <xf numFmtId="0" fontId="6" fillId="10" borderId="41" xfId="0" applyFont="1" applyFill="1" applyBorder="1" applyAlignment="1" applyProtection="1">
      <alignment horizontal="center" vertical="center" wrapText="1"/>
    </xf>
    <xf numFmtId="0" fontId="2" fillId="0" borderId="0" xfId="0" applyFont="1" applyProtection="1">
      <protection locked="0"/>
    </xf>
    <xf numFmtId="43" fontId="3" fillId="0" borderId="3" xfId="7" applyFont="1" applyFill="1" applyBorder="1" applyAlignment="1" applyProtection="1">
      <alignment horizontal="center" vertical="center"/>
      <protection locked="0" hidden="1"/>
    </xf>
    <xf numFmtId="0" fontId="3" fillId="11" borderId="0" xfId="0" applyFont="1" applyFill="1" applyProtection="1">
      <protection locked="0"/>
    </xf>
    <xf numFmtId="0" fontId="3" fillId="0" borderId="0" xfId="0" applyFont="1" applyFill="1" applyAlignment="1" applyProtection="1">
      <alignment wrapText="1"/>
      <protection locked="0"/>
    </xf>
    <xf numFmtId="0" fontId="4" fillId="0" borderId="0" xfId="0" applyFont="1" applyBorder="1" applyProtection="1">
      <protection locked="0"/>
    </xf>
    <xf numFmtId="0" fontId="10" fillId="0" borderId="0" xfId="9" applyFont="1" applyFill="1" applyAlignment="1" applyProtection="1">
      <alignment vertical="center"/>
    </xf>
    <xf numFmtId="0" fontId="62" fillId="0" borderId="0" xfId="0" applyFont="1" applyAlignment="1" applyProtection="1"/>
    <xf numFmtId="0" fontId="2" fillId="7" borderId="0" xfId="0" applyFont="1" applyFill="1" applyProtection="1"/>
    <xf numFmtId="49" fontId="46" fillId="0" borderId="13" xfId="0" applyNumberFormat="1" applyFont="1" applyFill="1" applyBorder="1" applyAlignment="1">
      <alignment horizontal="center"/>
    </xf>
    <xf numFmtId="0" fontId="46" fillId="0" borderId="13" xfId="0" applyFont="1" applyFill="1" applyBorder="1" applyAlignment="1">
      <alignment horizontal="center"/>
    </xf>
    <xf numFmtId="0" fontId="75" fillId="11" borderId="13" xfId="0" applyFont="1" applyFill="1" applyBorder="1" applyAlignment="1">
      <alignment horizontal="center"/>
    </xf>
    <xf numFmtId="0" fontId="75" fillId="11" borderId="13" xfId="0" applyFont="1" applyFill="1" applyBorder="1"/>
    <xf numFmtId="0" fontId="59" fillId="0" borderId="0" xfId="0" applyFont="1" applyAlignment="1" applyProtection="1">
      <alignment horizontal="left" vertical="top" wrapText="1"/>
    </xf>
    <xf numFmtId="0" fontId="60" fillId="0" borderId="0" xfId="4" applyFont="1" applyAlignment="1" applyProtection="1">
      <alignment horizontal="center"/>
      <protection locked="0"/>
    </xf>
    <xf numFmtId="0" fontId="60" fillId="0" borderId="0" xfId="0" applyFont="1" applyAlignment="1">
      <alignment horizontal="center"/>
    </xf>
    <xf numFmtId="0" fontId="62" fillId="0" borderId="0" xfId="0" applyFont="1" applyAlignment="1">
      <alignment horizontal="center"/>
    </xf>
    <xf numFmtId="0" fontId="72" fillId="0" borderId="0" xfId="0" applyFont="1" applyFill="1" applyBorder="1" applyAlignment="1" applyProtection="1">
      <alignment horizontal="center" vertical="justify"/>
      <protection locked="0"/>
    </xf>
    <xf numFmtId="0" fontId="72" fillId="0" borderId="0" xfId="0" applyFont="1" applyFill="1" applyBorder="1" applyAlignment="1" applyProtection="1">
      <alignment horizontal="center" vertical="justify"/>
    </xf>
    <xf numFmtId="0" fontId="72" fillId="0" borderId="0" xfId="0" applyFont="1" applyFill="1" applyBorder="1" applyAlignment="1" applyProtection="1">
      <alignment horizontal="center" vertical="top"/>
    </xf>
    <xf numFmtId="43" fontId="4" fillId="0" borderId="0" xfId="0" applyNumberFormat="1" applyFont="1" applyFill="1" applyBorder="1" applyAlignment="1" applyProtection="1">
      <alignment horizontal="center" vertical="center"/>
    </xf>
    <xf numFmtId="49" fontId="4" fillId="0" borderId="0" xfId="0" applyNumberFormat="1" applyFont="1" applyBorder="1" applyAlignment="1" applyProtection="1">
      <alignment horizontal="left" vertical="center"/>
      <protection locked="0"/>
    </xf>
    <xf numFmtId="1" fontId="4" fillId="0" borderId="0" xfId="0" applyNumberFormat="1" applyFont="1" applyFill="1" applyBorder="1" applyAlignment="1" applyProtection="1">
      <alignment horizontal="center" vertical="center"/>
      <protection locked="0"/>
    </xf>
    <xf numFmtId="166" fontId="4" fillId="0" borderId="0" xfId="0" applyNumberFormat="1" applyFont="1" applyFill="1" applyBorder="1" applyAlignment="1" applyProtection="1">
      <alignment horizontal="center" vertical="center"/>
      <protection locked="0"/>
    </xf>
    <xf numFmtId="0" fontId="72" fillId="0" borderId="0" xfId="0" applyFont="1" applyFill="1" applyBorder="1" applyAlignment="1" applyProtection="1">
      <alignment horizontal="center" wrapText="1"/>
      <protection locked="0"/>
    </xf>
    <xf numFmtId="43" fontId="3" fillId="6" borderId="0" xfId="6" applyFont="1" applyFill="1" applyBorder="1" applyAlignment="1" applyProtection="1">
      <alignment horizontal="center" vertical="center"/>
      <protection locked="0"/>
    </xf>
    <xf numFmtId="0" fontId="72" fillId="0" borderId="0" xfId="0" applyFont="1" applyBorder="1" applyAlignment="1" applyProtection="1">
      <alignment horizontal="center"/>
      <protection locked="0"/>
    </xf>
    <xf numFmtId="49" fontId="4" fillId="0" borderId="0" xfId="0" applyNumberFormat="1" applyFont="1" applyBorder="1" applyAlignment="1" applyProtection="1">
      <alignment horizontal="center" vertical="center"/>
      <protection locked="0"/>
    </xf>
    <xf numFmtId="0" fontId="6" fillId="0" borderId="0" xfId="0" applyFont="1" applyFill="1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center" vertical="center"/>
      <protection locked="0"/>
    </xf>
    <xf numFmtId="0" fontId="6" fillId="10" borderId="41" xfId="0" applyFont="1" applyFill="1" applyBorder="1" applyAlignment="1" applyProtection="1">
      <alignment horizontal="center" vertical="center" wrapText="1"/>
    </xf>
    <xf numFmtId="0" fontId="6" fillId="10" borderId="43" xfId="0" applyFont="1" applyFill="1" applyBorder="1" applyAlignment="1" applyProtection="1">
      <alignment horizontal="center" vertical="center" wrapText="1"/>
    </xf>
    <xf numFmtId="49" fontId="4" fillId="0" borderId="0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/>
    </xf>
    <xf numFmtId="43" fontId="4" fillId="0" borderId="50" xfId="0" applyNumberFormat="1" applyFont="1" applyBorder="1" applyAlignment="1">
      <alignment horizontal="left"/>
    </xf>
    <xf numFmtId="0" fontId="0" fillId="0" borderId="49" xfId="0" applyBorder="1" applyAlignment="1">
      <alignment horizontal="left"/>
    </xf>
    <xf numFmtId="0" fontId="3" fillId="0" borderId="47" xfId="0" applyFont="1" applyBorder="1" applyAlignment="1">
      <alignment horizontal="left" vertical="justify"/>
    </xf>
    <xf numFmtId="0" fontId="3" fillId="0" borderId="48" xfId="0" applyFont="1" applyBorder="1" applyAlignment="1">
      <alignment horizontal="left" vertical="justify"/>
    </xf>
    <xf numFmtId="0" fontId="15" fillId="0" borderId="50" xfId="0" applyFont="1" applyBorder="1" applyAlignment="1">
      <alignment horizontal="left"/>
    </xf>
    <xf numFmtId="0" fontId="16" fillId="0" borderId="49" xfId="0" applyFont="1" applyBorder="1" applyAlignment="1">
      <alignment horizontal="left"/>
    </xf>
    <xf numFmtId="0" fontId="3" fillId="0" borderId="51" xfId="0" applyFont="1" applyFill="1" applyBorder="1" applyAlignment="1">
      <alignment horizontal="center" vertical="center"/>
    </xf>
    <xf numFmtId="0" fontId="3" fillId="0" borderId="47" xfId="0" applyFont="1" applyFill="1" applyBorder="1" applyAlignment="1">
      <alignment horizontal="center" vertical="center"/>
    </xf>
    <xf numFmtId="0" fontId="0" fillId="0" borderId="48" xfId="0" applyBorder="1" applyAlignment="1">
      <alignment horizontal="left" vertical="justify"/>
    </xf>
    <xf numFmtId="0" fontId="23" fillId="5" borderId="29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9" fillId="0" borderId="0" xfId="0" applyFont="1" applyAlignment="1" applyProtection="1">
      <alignment horizontal="center" vertical="top" wrapText="1"/>
      <protection locked="0"/>
    </xf>
    <xf numFmtId="0" fontId="5" fillId="0" borderId="0" xfId="0" applyFont="1" applyAlignment="1">
      <alignment horizontal="center"/>
    </xf>
    <xf numFmtId="0" fontId="52" fillId="5" borderId="44" xfId="0" applyFont="1" applyFill="1" applyBorder="1" applyAlignment="1">
      <alignment horizontal="center"/>
    </xf>
    <xf numFmtId="0" fontId="52" fillId="5" borderId="45" xfId="0" applyFont="1" applyFill="1" applyBorder="1" applyAlignment="1">
      <alignment horizontal="center"/>
    </xf>
    <xf numFmtId="0" fontId="52" fillId="5" borderId="46" xfId="0" applyFont="1" applyFill="1" applyBorder="1" applyAlignment="1">
      <alignment horizontal="center"/>
    </xf>
    <xf numFmtId="0" fontId="4" fillId="0" borderId="0" xfId="0" applyFont="1" applyBorder="1" applyAlignment="1" applyProtection="1">
      <alignment horizontal="left"/>
      <protection locked="0"/>
    </xf>
    <xf numFmtId="0" fontId="4" fillId="0" borderId="49" xfId="0" applyFont="1" applyBorder="1" applyAlignment="1" applyProtection="1">
      <alignment horizontal="left"/>
      <protection locked="0"/>
    </xf>
    <xf numFmtId="0" fontId="4" fillId="0" borderId="50" xfId="0" applyFont="1" applyBorder="1" applyAlignment="1" applyProtection="1">
      <alignment horizontal="left"/>
      <protection locked="0"/>
    </xf>
    <xf numFmtId="0" fontId="0" fillId="0" borderId="49" xfId="0" applyBorder="1" applyAlignment="1" applyProtection="1">
      <alignment horizontal="left"/>
      <protection locked="0"/>
    </xf>
    <xf numFmtId="1" fontId="4" fillId="0" borderId="50" xfId="0" applyNumberFormat="1" applyFont="1" applyBorder="1" applyAlignment="1" applyProtection="1">
      <alignment horizontal="left"/>
      <protection locked="0"/>
    </xf>
    <xf numFmtId="49" fontId="4" fillId="0" borderId="50" xfId="0" applyNumberFormat="1" applyFont="1" applyFill="1" applyBorder="1" applyAlignment="1" applyProtection="1">
      <alignment horizontal="left"/>
      <protection locked="0"/>
    </xf>
    <xf numFmtId="49" fontId="0" fillId="0" borderId="49" xfId="0" applyNumberFormat="1" applyFill="1" applyBorder="1" applyAlignment="1" applyProtection="1">
      <alignment horizontal="left"/>
      <protection locked="0"/>
    </xf>
    <xf numFmtId="0" fontId="3" fillId="0" borderId="14" xfId="0" applyFont="1" applyBorder="1" applyAlignment="1">
      <alignment horizontal="left" vertical="justify"/>
    </xf>
    <xf numFmtId="0" fontId="25" fillId="10" borderId="52" xfId="0" applyFont="1" applyFill="1" applyBorder="1" applyAlignment="1" applyProtection="1">
      <alignment horizontal="center" vertical="center" wrapText="1"/>
    </xf>
    <xf numFmtId="0" fontId="25" fillId="10" borderId="53" xfId="0" applyFont="1" applyFill="1" applyBorder="1" applyAlignment="1" applyProtection="1">
      <alignment horizontal="center" vertical="center" wrapText="1"/>
    </xf>
    <xf numFmtId="0" fontId="44" fillId="10" borderId="54" xfId="0" applyFont="1" applyFill="1" applyBorder="1" applyAlignment="1" applyProtection="1">
      <alignment horizontal="center" vertical="center" wrapText="1"/>
    </xf>
    <xf numFmtId="0" fontId="44" fillId="10" borderId="55" xfId="0" applyFont="1" applyFill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/>
    </xf>
    <xf numFmtId="0" fontId="9" fillId="0" borderId="0" xfId="0" applyFont="1" applyAlignment="1" applyProtection="1">
      <alignment horizontal="center" vertical="top" wrapText="1"/>
    </xf>
    <xf numFmtId="0" fontId="25" fillId="10" borderId="53" xfId="0" applyFont="1" applyFill="1" applyBorder="1" applyAlignment="1" applyProtection="1">
      <alignment horizontal="center"/>
    </xf>
    <xf numFmtId="0" fontId="62" fillId="0" borderId="0" xfId="0" applyFont="1" applyAlignment="1" applyProtection="1">
      <alignment horizontal="center"/>
    </xf>
    <xf numFmtId="0" fontId="52" fillId="5" borderId="56" xfId="0" applyFont="1" applyFill="1" applyBorder="1" applyAlignment="1" applyProtection="1">
      <alignment horizontal="center"/>
    </xf>
    <xf numFmtId="0" fontId="52" fillId="5" borderId="57" xfId="0" applyFont="1" applyFill="1" applyBorder="1" applyAlignment="1" applyProtection="1">
      <alignment horizontal="center"/>
    </xf>
    <xf numFmtId="0" fontId="52" fillId="5" borderId="58" xfId="0" applyFont="1" applyFill="1" applyBorder="1" applyAlignment="1" applyProtection="1">
      <alignment horizontal="center" vertical="center" wrapText="1"/>
    </xf>
    <xf numFmtId="0" fontId="54" fillId="5" borderId="58" xfId="0" applyFont="1" applyFill="1" applyBorder="1"/>
    <xf numFmtId="0" fontId="54" fillId="5" borderId="59" xfId="0" applyFont="1" applyFill="1" applyBorder="1"/>
    <xf numFmtId="0" fontId="52" fillId="5" borderId="60" xfId="0" applyFont="1" applyFill="1" applyBorder="1" applyAlignment="1" applyProtection="1">
      <alignment horizontal="center"/>
    </xf>
    <xf numFmtId="0" fontId="52" fillId="5" borderId="61" xfId="0" applyFont="1" applyFill="1" applyBorder="1" applyAlignment="1" applyProtection="1">
      <alignment horizontal="center"/>
    </xf>
    <xf numFmtId="0" fontId="52" fillId="5" borderId="62" xfId="0" applyFont="1" applyFill="1" applyBorder="1" applyAlignment="1" applyProtection="1">
      <alignment horizontal="center"/>
    </xf>
    <xf numFmtId="0" fontId="66" fillId="12" borderId="0" xfId="0" applyFont="1" applyFill="1" applyAlignment="1">
      <alignment horizontal="left"/>
    </xf>
    <xf numFmtId="49" fontId="3" fillId="0" borderId="12" xfId="0" applyNumberFormat="1" applyFont="1" applyBorder="1" applyAlignment="1">
      <alignment horizontal="center" vertical="center" wrapText="1"/>
    </xf>
    <xf numFmtId="49" fontId="3" fillId="0" borderId="10" xfId="0" applyNumberFormat="1" applyFont="1" applyBorder="1" applyAlignment="1">
      <alignment horizontal="center" vertical="center" wrapText="1"/>
    </xf>
    <xf numFmtId="0" fontId="23" fillId="0" borderId="0" xfId="0" applyFont="1" applyBorder="1" applyAlignment="1">
      <alignment wrapText="1"/>
    </xf>
    <xf numFmtId="0" fontId="10" fillId="0" borderId="0" xfId="15" applyFont="1" applyAlignment="1">
      <alignment horizontal="center"/>
    </xf>
    <xf numFmtId="0" fontId="32" fillId="0" borderId="0" xfId="0" applyFont="1" applyAlignment="1">
      <alignment horizontal="center"/>
    </xf>
    <xf numFmtId="0" fontId="31" fillId="2" borderId="63" xfId="15" applyFont="1" applyFill="1" applyBorder="1" applyAlignment="1">
      <alignment horizontal="center" vertical="center"/>
    </xf>
    <xf numFmtId="0" fontId="31" fillId="2" borderId="64" xfId="15" applyFont="1" applyFill="1" applyBorder="1" applyAlignment="1">
      <alignment horizontal="center" vertical="center"/>
    </xf>
    <xf numFmtId="0" fontId="31" fillId="2" borderId="65" xfId="15" applyFont="1" applyFill="1" applyBorder="1" applyAlignment="1">
      <alignment horizontal="center" vertical="center"/>
    </xf>
    <xf numFmtId="0" fontId="23" fillId="2" borderId="63" xfId="15" applyFont="1" applyFill="1" applyBorder="1" applyAlignment="1">
      <alignment horizontal="center" vertical="center"/>
    </xf>
    <xf numFmtId="0" fontId="23" fillId="2" borderId="64" xfId="15" applyFont="1" applyFill="1" applyBorder="1" applyAlignment="1">
      <alignment horizontal="center" vertical="center"/>
    </xf>
    <xf numFmtId="0" fontId="23" fillId="2" borderId="65" xfId="15" applyFont="1" applyFill="1" applyBorder="1" applyAlignment="1">
      <alignment horizontal="center" vertical="center"/>
    </xf>
    <xf numFmtId="0" fontId="32" fillId="0" borderId="0" xfId="0" applyFont="1" applyAlignment="1">
      <alignment horizontal="center" readingOrder="2"/>
    </xf>
    <xf numFmtId="0" fontId="24" fillId="0" borderId="0" xfId="15" applyFont="1" applyFill="1" applyBorder="1" applyAlignment="1">
      <alignment horizontal="left" vertical="center"/>
    </xf>
    <xf numFmtId="0" fontId="24" fillId="0" borderId="0" xfId="15" applyFont="1" applyFill="1" applyBorder="1" applyAlignment="1">
      <alignment horizontal="center" vertical="center" wrapText="1"/>
    </xf>
    <xf numFmtId="49" fontId="3" fillId="0" borderId="12" xfId="15" applyNumberFormat="1" applyFont="1" applyBorder="1" applyAlignment="1">
      <alignment horizontal="center" vertical="center" wrapText="1"/>
    </xf>
    <xf numFmtId="49" fontId="3" fillId="0" borderId="10" xfId="15" applyNumberFormat="1" applyFont="1" applyBorder="1" applyAlignment="1">
      <alignment horizontal="center" vertical="center" wrapText="1"/>
    </xf>
    <xf numFmtId="49" fontId="37" fillId="0" borderId="12" xfId="0" applyNumberFormat="1" applyFont="1" applyBorder="1" applyAlignment="1">
      <alignment horizontal="center" vertical="center" wrapText="1"/>
    </xf>
    <xf numFmtId="49" fontId="37" fillId="0" borderId="10" xfId="0" applyNumberFormat="1" applyFont="1" applyBorder="1" applyAlignment="1">
      <alignment horizontal="center" vertical="center" wrapText="1"/>
    </xf>
    <xf numFmtId="0" fontId="76" fillId="10" borderId="5" xfId="0" applyFont="1" applyFill="1" applyBorder="1" applyAlignment="1">
      <alignment horizontal="center" vertical="center"/>
    </xf>
    <xf numFmtId="0" fontId="76" fillId="10" borderId="6" xfId="0" applyFont="1" applyFill="1" applyBorder="1" applyAlignment="1">
      <alignment horizontal="center" vertical="center"/>
    </xf>
    <xf numFmtId="0" fontId="76" fillId="10" borderId="7" xfId="0" applyFont="1" applyFill="1" applyBorder="1" applyAlignment="1">
      <alignment horizontal="center" vertical="center"/>
    </xf>
    <xf numFmtId="0" fontId="50" fillId="0" borderId="0" xfId="0" applyNumberFormat="1" applyFont="1" applyAlignment="1">
      <alignment horizontal="center" wrapText="1"/>
    </xf>
    <xf numFmtId="0" fontId="12" fillId="0" borderId="0" xfId="13" applyFont="1" applyAlignment="1">
      <alignment horizontal="justify" vertical="top"/>
    </xf>
    <xf numFmtId="0" fontId="12" fillId="0" borderId="0" xfId="13" applyFont="1" applyAlignment="1">
      <alignment horizontal="justify"/>
    </xf>
    <xf numFmtId="0" fontId="67" fillId="0" borderId="0" xfId="2" applyAlignment="1" applyProtection="1">
      <alignment horizontal="left"/>
    </xf>
    <xf numFmtId="0" fontId="36" fillId="0" borderId="0" xfId="0" applyFont="1" applyBorder="1" applyAlignment="1">
      <alignment wrapText="1"/>
    </xf>
    <xf numFmtId="0" fontId="31" fillId="0" borderId="0" xfId="15" applyFont="1" applyFill="1" applyBorder="1" applyAlignment="1">
      <alignment horizontal="center" vertical="center"/>
    </xf>
    <xf numFmtId="49" fontId="37" fillId="3" borderId="12" xfId="0" applyNumberFormat="1" applyFont="1" applyFill="1" applyBorder="1" applyAlignment="1">
      <alignment horizontal="center" vertical="center" wrapText="1"/>
    </xf>
    <xf numFmtId="49" fontId="37" fillId="3" borderId="10" xfId="0" applyNumberFormat="1" applyFont="1" applyFill="1" applyBorder="1" applyAlignment="1">
      <alignment horizontal="center" vertical="center" wrapText="1"/>
    </xf>
    <xf numFmtId="0" fontId="64" fillId="10" borderId="5" xfId="0" applyFont="1" applyFill="1" applyBorder="1" applyAlignment="1">
      <alignment horizontal="center" vertical="center"/>
    </xf>
    <xf numFmtId="0" fontId="64" fillId="10" borderId="6" xfId="0" applyFont="1" applyFill="1" applyBorder="1" applyAlignment="1">
      <alignment horizontal="center" vertical="center"/>
    </xf>
    <xf numFmtId="0" fontId="64" fillId="10" borderId="7" xfId="0" applyFont="1" applyFill="1" applyBorder="1" applyAlignment="1">
      <alignment horizontal="center" vertical="center"/>
    </xf>
    <xf numFmtId="0" fontId="63" fillId="10" borderId="5" xfId="0" applyFont="1" applyFill="1" applyBorder="1" applyAlignment="1">
      <alignment horizontal="center" vertical="center"/>
    </xf>
    <xf numFmtId="0" fontId="63" fillId="10" borderId="6" xfId="0" applyFont="1" applyFill="1" applyBorder="1" applyAlignment="1">
      <alignment horizontal="center" vertical="center"/>
    </xf>
    <xf numFmtId="0" fontId="63" fillId="10" borderId="7" xfId="0" applyFont="1" applyFill="1" applyBorder="1" applyAlignment="1">
      <alignment horizontal="center" vertical="center"/>
    </xf>
    <xf numFmtId="0" fontId="25" fillId="0" borderId="0" xfId="15" applyFont="1" applyFill="1" applyBorder="1" applyAlignment="1" applyProtection="1">
      <alignment horizontal="center" vertical="center"/>
    </xf>
    <xf numFmtId="0" fontId="29" fillId="0" borderId="0" xfId="15" applyFont="1" applyFill="1" applyBorder="1" applyAlignment="1">
      <alignment horizontal="center" vertical="center"/>
    </xf>
    <xf numFmtId="0" fontId="24" fillId="0" borderId="0" xfId="15" applyFont="1" applyFill="1" applyBorder="1" applyAlignment="1">
      <alignment horizontal="center" vertical="center"/>
    </xf>
    <xf numFmtId="0" fontId="24" fillId="0" borderId="0" xfId="15" applyFont="1" applyFill="1" applyBorder="1" applyAlignment="1">
      <alignment horizontal="justify" wrapText="1"/>
    </xf>
    <xf numFmtId="0" fontId="43" fillId="0" borderId="0" xfId="15" applyFont="1" applyFill="1" applyBorder="1" applyAlignment="1">
      <alignment horizontal="justify" vertical="center" wrapText="1"/>
    </xf>
    <xf numFmtId="0" fontId="24" fillId="0" borderId="0" xfId="15" applyFont="1" applyFill="1" applyBorder="1" applyAlignment="1">
      <alignment horizontal="justify" vertical="center" wrapText="1"/>
    </xf>
  </cellXfs>
  <cellStyles count="16">
    <cellStyle name="Euro" xfId="1" xr:uid="{00000000-0005-0000-0000-000001000000}"/>
    <cellStyle name="Hipervínculo" xfId="2" builtinId="8"/>
    <cellStyle name="Hipervínculo 2" xfId="3" xr:uid="{00000000-0005-0000-0000-000002000000}"/>
    <cellStyle name="Hipervínculo 3" xfId="4" xr:uid="{00000000-0005-0000-0000-000003000000}"/>
    <cellStyle name="Hipervínculo 4" xfId="5" xr:uid="{00000000-0005-0000-0000-000004000000}"/>
    <cellStyle name="Millares" xfId="6" builtinId="3"/>
    <cellStyle name="Millares 2" xfId="7" xr:uid="{00000000-0005-0000-0000-000006000000}"/>
    <cellStyle name="Moneda 2" xfId="8" xr:uid="{00000000-0005-0000-0000-000007000000}"/>
    <cellStyle name="Normal" xfId="0" builtinId="0"/>
    <cellStyle name="Normal 2" xfId="9" xr:uid="{00000000-0005-0000-0000-000009000000}"/>
    <cellStyle name="Normal 2 2" xfId="10" xr:uid="{00000000-0005-0000-0000-00000A000000}"/>
    <cellStyle name="Normal 2 2 2" xfId="11" xr:uid="{00000000-0005-0000-0000-00000B000000}"/>
    <cellStyle name="Normal 2 3" xfId="12" xr:uid="{00000000-0005-0000-0000-00000C000000}"/>
    <cellStyle name="Normal 3" xfId="13" xr:uid="{00000000-0005-0000-0000-00000D000000}"/>
    <cellStyle name="Normal 3 2" xfId="14" xr:uid="{00000000-0005-0000-0000-00000E000000}"/>
    <cellStyle name="Normal 4" xfId="15" xr:uid="{00000000-0005-0000-0000-00000F000000}"/>
  </cellStyles>
  <dxfs count="130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rebuchet MS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/>
        <top/>
        <bottom style="thin">
          <color indexed="5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rebuchet MS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rebuchet MS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rebuchet MS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rebuchet MS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rebuchet MS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rebuchet MS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rebuchet MS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rebuchet MS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rebuchet MS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8"/>
        <color indexed="12"/>
        <name val="Trebuchet MS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rebuchet M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rebuchet MS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rebuchet MS"/>
        <scheme val="none"/>
      </font>
      <numFmt numFmtId="166" formatCode="yyyy\-mm\-dd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rebuchet M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rebuchet MS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rebuchet M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rebuchet MS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rebuchet MS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rebuchet MS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rebuchet MS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rebuchet MS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55"/>
        </right>
        <top/>
        <bottom style="thin">
          <color indexed="55"/>
        </bottom>
      </border>
      <protection locked="0" hidden="0"/>
    </dxf>
    <dxf>
      <border outline="0">
        <bottom style="thin">
          <color indexed="2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rebuchet MS"/>
        <scheme val="none"/>
      </font>
      <fill>
        <patternFill patternType="solid">
          <fgColor indexed="64"/>
          <bgColor indexed="5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  <protection locked="1" hidden="0"/>
    </dxf>
    <dxf>
      <fill>
        <patternFill>
          <bgColor indexed="42"/>
        </patternFill>
      </fill>
    </dxf>
    <dxf>
      <fill>
        <patternFill>
          <bgColor rgb="FFFFFF00"/>
        </patternFill>
      </fill>
    </dxf>
    <dxf>
      <fill>
        <patternFill>
          <fgColor indexed="64"/>
          <bgColor rgb="FFC0C0C0"/>
        </patternFill>
      </fill>
    </dxf>
    <dxf>
      <fill>
        <patternFill>
          <bgColor rgb="FFE6F0EC"/>
        </patternFill>
      </fill>
    </dxf>
    <dxf>
      <fill>
        <patternFill>
          <fgColor indexed="64"/>
          <bgColor rgb="FFC0C0C0"/>
        </patternFill>
      </fill>
    </dxf>
    <dxf>
      <fill>
        <patternFill>
          <fgColor indexed="64"/>
          <bgColor rgb="FFC0C0C0"/>
        </patternFill>
      </fill>
    </dxf>
    <dxf>
      <fill>
        <patternFill>
          <bgColor rgb="FFE6F0EC"/>
        </patternFill>
      </fill>
    </dxf>
    <dxf>
      <fill>
        <patternFill>
          <bgColor indexed="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rebuchet MS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55"/>
        </left>
        <right/>
        <top style="thin">
          <color indexed="55"/>
        </top>
        <bottom style="thin">
          <color indexed="5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rebuchet MS"/>
        <scheme val="none"/>
      </font>
      <numFmt numFmtId="166" formatCode="yyyy\-mm\-dd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rebuchet MS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rebuchet MS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Trebuchet MS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Trebuchet MS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Trebuchet MS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Trebuchet MS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Trebuchet MS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rebuchet MS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8"/>
        <color indexed="12"/>
        <name val="Trebuchet MS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rebuchet MS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rebuchet MS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rebuchet MS"/>
        <scheme val="none"/>
      </font>
      <numFmt numFmtId="167" formatCode="yyyymmdd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rebuchet MS"/>
        <scheme val="none"/>
      </font>
      <numFmt numFmtId="166" formatCode="yyyy\-mm\-dd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rebuchet M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rebuchet MS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rebuchet MS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rebuchet MS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rebuchet MS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rebuchet MS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rebuchet MS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rebuchet MS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55"/>
        </right>
        <top style="thin">
          <color indexed="55"/>
        </top>
        <bottom style="thin">
          <color indexed="55"/>
        </bottom>
      </border>
      <protection locked="0" hidden="0"/>
    </dxf>
    <dxf>
      <border outline="0">
        <top style="thin">
          <color indexed="55"/>
        </top>
      </border>
    </dxf>
    <dxf>
      <border outline="0"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rebuchet MS"/>
        <scheme val="none"/>
      </font>
      <fill>
        <patternFill patternType="solid">
          <fgColor indexed="64"/>
          <bgColor indexed="5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</dxf>
    <dxf>
      <fill>
        <patternFill>
          <bgColor indexed="42"/>
        </patternFill>
      </fill>
    </dxf>
    <dxf>
      <fill>
        <patternFill>
          <bgColor rgb="FFFFFF00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fgColor indexed="64"/>
          <bgColor rgb="FFC0C0C0"/>
        </patternFill>
      </fill>
    </dxf>
    <dxf>
      <fill>
        <patternFill>
          <fgColor indexed="64"/>
          <bgColor rgb="FFC0C0C0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fgColor indexed="64"/>
          <bgColor rgb="FFC0C0C0"/>
        </patternFill>
      </fill>
    </dxf>
    <dxf>
      <fill>
        <patternFill>
          <fgColor indexed="64"/>
          <bgColor rgb="FFC0C0C0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bgColor rgb="FFE6F0EC"/>
        </patternFill>
      </fill>
    </dxf>
    <dxf>
      <fill>
        <patternFill>
          <fgColor indexed="64"/>
          <bgColor rgb="FFC0C0C0"/>
        </patternFill>
      </fill>
    </dxf>
    <dxf>
      <fill>
        <patternFill>
          <fgColor indexed="64"/>
          <bgColor rgb="FFC0C0C0"/>
        </patternFill>
      </fill>
    </dxf>
    <dxf>
      <fill>
        <patternFill>
          <bgColor rgb="FFE6F0EC"/>
        </patternFill>
      </fill>
    </dxf>
    <dxf>
      <fill>
        <patternFill>
          <bgColor rgb="FFE6E9EE"/>
        </patternFill>
      </fill>
    </dxf>
    <dxf>
      <fill>
        <patternFill>
          <bgColor rgb="FFE6F0EC"/>
        </patternFill>
      </fill>
    </dxf>
    <dxf>
      <fill>
        <patternFill>
          <bgColor rgb="FFDBF5DD"/>
        </patternFill>
      </fill>
    </dxf>
  </dxfs>
  <tableStyles count="3" defaultTableStyle="TableStyleMedium9" defaultPivotStyle="PivotStyleLight16">
    <tableStyle name="Estilo de tabla 1" pivot="0" count="1" xr9:uid="{00000000-0011-0000-FFFF-FFFF00000000}">
      <tableStyleElement type="firstRowStripe" dxfId="129"/>
    </tableStyle>
    <tableStyle name="Estilo de tabla 2" pivot="0" count="1" xr9:uid="{00000000-0011-0000-FFFF-FFFF01000000}">
      <tableStyleElement type="firstRowStripe" dxfId="128"/>
    </tableStyle>
    <tableStyle name="Estilo de tabla 3" pivot="0" count="1" xr9:uid="{00000000-0011-0000-FFFF-FFFF02000000}">
      <tableStyleElement type="firstRowStripe" dxfId="12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4.xml"/><Relationship Id="rId18" Type="http://schemas.openxmlformats.org/officeDocument/2006/relationships/worksheet" Target="worksheets/sheet9.xml"/><Relationship Id="rId26" Type="http://schemas.openxmlformats.org/officeDocument/2006/relationships/externalLink" Target="externalLinks/externalLink3.xml"/><Relationship Id="rId3" Type="http://schemas.microsoft.com/office/2006/relationships/xlMacrosheet" Target="macrosheets/sheet3.xml"/><Relationship Id="rId21" Type="http://schemas.openxmlformats.org/officeDocument/2006/relationships/worksheet" Target="worksheets/sheet12.xml"/><Relationship Id="rId34" Type="http://schemas.openxmlformats.org/officeDocument/2006/relationships/customXml" Target="../customXml/item4.xml"/><Relationship Id="rId7" Type="http://schemas.microsoft.com/office/2006/relationships/xlMacrosheet" Target="macrosheets/sheet7.xml"/><Relationship Id="rId12" Type="http://schemas.openxmlformats.org/officeDocument/2006/relationships/worksheet" Target="worksheets/sheet3.xml"/><Relationship Id="rId17" Type="http://schemas.openxmlformats.org/officeDocument/2006/relationships/worksheet" Target="worksheets/sheet8.xml"/><Relationship Id="rId25" Type="http://schemas.openxmlformats.org/officeDocument/2006/relationships/externalLink" Target="externalLinks/externalLink2.xml"/><Relationship Id="rId33" Type="http://schemas.openxmlformats.org/officeDocument/2006/relationships/customXml" Target="../customXml/item3.xml"/><Relationship Id="rId2" Type="http://schemas.microsoft.com/office/2006/relationships/xlMacrosheet" Target="macrosheets/sheet2.xml"/><Relationship Id="rId16" Type="http://schemas.openxmlformats.org/officeDocument/2006/relationships/worksheet" Target="worksheets/sheet7.xml"/><Relationship Id="rId20" Type="http://schemas.openxmlformats.org/officeDocument/2006/relationships/worksheet" Target="worksheets/sheet11.xml"/><Relationship Id="rId29" Type="http://schemas.openxmlformats.org/officeDocument/2006/relationships/sharedStrings" Target="sharedStrings.xml"/><Relationship Id="rId1" Type="http://schemas.microsoft.com/office/2006/relationships/xlMacrosheet" Target="macrosheets/sheet1.xml"/><Relationship Id="rId6" Type="http://schemas.microsoft.com/office/2006/relationships/xlMacrosheet" Target="macrosheets/sheet6.xml"/><Relationship Id="rId11" Type="http://schemas.openxmlformats.org/officeDocument/2006/relationships/worksheet" Target="worksheets/sheet2.xml"/><Relationship Id="rId24" Type="http://schemas.openxmlformats.org/officeDocument/2006/relationships/externalLink" Target="externalLinks/externalLink1.xml"/><Relationship Id="rId32" Type="http://schemas.openxmlformats.org/officeDocument/2006/relationships/customXml" Target="../customXml/item2.xml"/><Relationship Id="rId5" Type="http://schemas.microsoft.com/office/2006/relationships/xlMacrosheet" Target="macrosheets/sheet5.xml"/><Relationship Id="rId15" Type="http://schemas.openxmlformats.org/officeDocument/2006/relationships/worksheet" Target="worksheets/sheet6.xml"/><Relationship Id="rId23" Type="http://schemas.openxmlformats.org/officeDocument/2006/relationships/worksheet" Target="worksheets/sheet14.xml"/><Relationship Id="rId28" Type="http://schemas.openxmlformats.org/officeDocument/2006/relationships/styles" Target="styles.xml"/><Relationship Id="rId36" Type="http://schemas.microsoft.com/office/2006/relationships/vbaProject" Target="vbaProject.bin"/><Relationship Id="rId10" Type="http://schemas.openxmlformats.org/officeDocument/2006/relationships/worksheet" Target="worksheets/sheet1.xml"/><Relationship Id="rId19" Type="http://schemas.openxmlformats.org/officeDocument/2006/relationships/worksheet" Target="worksheets/sheet10.xml"/><Relationship Id="rId31" Type="http://schemas.openxmlformats.org/officeDocument/2006/relationships/customXml" Target="../customXml/item1.xml"/><Relationship Id="rId4" Type="http://schemas.microsoft.com/office/2006/relationships/xlMacrosheet" Target="macrosheets/sheet4.xml"/><Relationship Id="rId9" Type="http://schemas.microsoft.com/office/2006/relationships/xlMacrosheet" Target="macrosheets/sheet9.xml"/><Relationship Id="rId14" Type="http://schemas.openxmlformats.org/officeDocument/2006/relationships/worksheet" Target="worksheets/sheet5.xml"/><Relationship Id="rId22" Type="http://schemas.openxmlformats.org/officeDocument/2006/relationships/worksheet" Target="worksheets/sheet13.xml"/><Relationship Id="rId27" Type="http://schemas.openxmlformats.org/officeDocument/2006/relationships/theme" Target="theme/theme1.xml"/><Relationship Id="rId30" Type="http://schemas.openxmlformats.org/officeDocument/2006/relationships/calcChain" Target="calcChain.xml"/><Relationship Id="rId35" Type="http://schemas.openxmlformats.org/officeDocument/2006/relationships/customXml" Target="../customXml/item5.xml"/><Relationship Id="rId8" Type="http://schemas.microsoft.com/office/2006/relationships/xlMacrosheet" Target="macro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Macros!A1"/><Relationship Id="rId7" Type="http://schemas.openxmlformats.org/officeDocument/2006/relationships/hyperlink" Target="#Macros!A137"/><Relationship Id="rId12" Type="http://schemas.openxmlformats.org/officeDocument/2006/relationships/image" Target="../media/image9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4.jpeg"/><Relationship Id="rId11" Type="http://schemas.openxmlformats.org/officeDocument/2006/relationships/image" Target="../media/image8.png"/><Relationship Id="rId5" Type="http://schemas.openxmlformats.org/officeDocument/2006/relationships/hyperlink" Target="#Macros!A89"/><Relationship Id="rId10" Type="http://schemas.openxmlformats.org/officeDocument/2006/relationships/image" Target="../media/image7.png"/><Relationship Id="rId4" Type="http://schemas.openxmlformats.org/officeDocument/2006/relationships/image" Target="../media/image3.jpe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10.jpeg"/><Relationship Id="rId1" Type="http://schemas.openxmlformats.org/officeDocument/2006/relationships/image" Target="../media/image1.jpeg"/><Relationship Id="rId6" Type="http://schemas.openxmlformats.org/officeDocument/2006/relationships/hyperlink" Target="#BANCOS!A1"/><Relationship Id="rId5" Type="http://schemas.openxmlformats.org/officeDocument/2006/relationships/hyperlink" Target="#Ayuda!A1"/><Relationship Id="rId4" Type="http://schemas.openxmlformats.org/officeDocument/2006/relationships/image" Target="../media/image8.png"/><Relationship Id="rId9" Type="http://schemas.openxmlformats.org/officeDocument/2006/relationships/hyperlink" Target="#'Beneficiarios de Pago'!A9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.jpeg"/><Relationship Id="rId1" Type="http://schemas.openxmlformats.org/officeDocument/2006/relationships/image" Target="../media/image12.png"/><Relationship Id="rId4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BANCOSB!A1"/><Relationship Id="rId3" Type="http://schemas.openxmlformats.org/officeDocument/2006/relationships/hyperlink" Target="#Menu!A1"/><Relationship Id="rId7" Type="http://schemas.openxmlformats.org/officeDocument/2006/relationships/hyperlink" Target="#Ayuda_Benef!A1"/><Relationship Id="rId12" Type="http://schemas.openxmlformats.org/officeDocument/2006/relationships/hyperlink" Target="#'Ordenes de Pago'!B9"/><Relationship Id="rId2" Type="http://schemas.openxmlformats.org/officeDocument/2006/relationships/image" Target="../media/image13.png"/><Relationship Id="rId1" Type="http://schemas.openxmlformats.org/officeDocument/2006/relationships/image" Target="../media/image1.jpeg"/><Relationship Id="rId6" Type="http://schemas.openxmlformats.org/officeDocument/2006/relationships/image" Target="../media/image8.png"/><Relationship Id="rId11" Type="http://schemas.openxmlformats.org/officeDocument/2006/relationships/image" Target="../media/image24.png"/><Relationship Id="rId5" Type="http://schemas.openxmlformats.org/officeDocument/2006/relationships/image" Target="../media/image7.png"/><Relationship Id="rId10" Type="http://schemas.openxmlformats.org/officeDocument/2006/relationships/image" Target="../media/image23.png"/><Relationship Id="rId4" Type="http://schemas.openxmlformats.org/officeDocument/2006/relationships/image" Target="../media/image9.jpeg"/><Relationship Id="rId9" Type="http://schemas.openxmlformats.org/officeDocument/2006/relationships/image" Target="../media/image2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.jpeg"/><Relationship Id="rId1" Type="http://schemas.openxmlformats.org/officeDocument/2006/relationships/image" Target="../media/image12.png"/><Relationship Id="rId4" Type="http://schemas.openxmlformats.org/officeDocument/2006/relationships/image" Target="../media/image1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Ordenes de Pago'!A1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5" Type="http://schemas.openxmlformats.org/officeDocument/2006/relationships/hyperlink" Target="#BANCOS!A1"/><Relationship Id="rId4" Type="http://schemas.openxmlformats.org/officeDocument/2006/relationships/hyperlink" Target="#Ayuda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Ordenes de Pago'!A1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5" Type="http://schemas.openxmlformats.org/officeDocument/2006/relationships/hyperlink" Target="#BANCOS!A1"/><Relationship Id="rId4" Type="http://schemas.openxmlformats.org/officeDocument/2006/relationships/hyperlink" Target="#Ayuda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jpeg"/><Relationship Id="rId3" Type="http://schemas.openxmlformats.org/officeDocument/2006/relationships/image" Target="../media/image29.jpeg"/><Relationship Id="rId7" Type="http://schemas.openxmlformats.org/officeDocument/2006/relationships/image" Target="../media/image33.jpeg"/><Relationship Id="rId2" Type="http://schemas.openxmlformats.org/officeDocument/2006/relationships/image" Target="../media/image28.jpeg"/><Relationship Id="rId1" Type="http://schemas.openxmlformats.org/officeDocument/2006/relationships/image" Target="../media/image27.jpeg"/><Relationship Id="rId6" Type="http://schemas.openxmlformats.org/officeDocument/2006/relationships/image" Target="../media/image32.jpeg"/><Relationship Id="rId5" Type="http://schemas.openxmlformats.org/officeDocument/2006/relationships/image" Target="../media/image31.jpeg"/><Relationship Id="rId4" Type="http://schemas.openxmlformats.org/officeDocument/2006/relationships/image" Target="../media/image30.jpe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Beneficiarios de Pago'!A9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hyperlink" Target="#Ayuda_Benef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BANCOSB!A1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hyperlink" Target="#'Beneficiarios de Pago'!A9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7" Type="http://schemas.openxmlformats.org/officeDocument/2006/relationships/image" Target="../media/image15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6" Type="http://schemas.openxmlformats.org/officeDocument/2006/relationships/image" Target="../media/image16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57150</xdr:rowOff>
    </xdr:from>
    <xdr:to>
      <xdr:col>1</xdr:col>
      <xdr:colOff>161925</xdr:colOff>
      <xdr:row>5</xdr:row>
      <xdr:rowOff>9525</xdr:rowOff>
    </xdr:to>
    <xdr:pic>
      <xdr:nvPicPr>
        <xdr:cNvPr id="181153" name="IMAGEN_CORP" descr="logotipo Corp Banca, BU plantillas.jpg" hidden="1">
          <a:extLst>
            <a:ext uri="{FF2B5EF4-FFF2-40B4-BE49-F238E27FC236}">
              <a16:creationId xmlns:a16="http://schemas.microsoft.com/office/drawing/2014/main" id="{00000000-0008-0000-0900-0000A1C3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0"/>
          <a:ext cx="866775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209550</xdr:colOff>
      <xdr:row>6</xdr:row>
      <xdr:rowOff>180975</xdr:rowOff>
    </xdr:from>
    <xdr:to>
      <xdr:col>7</xdr:col>
      <xdr:colOff>685800</xdr:colOff>
      <xdr:row>12</xdr:row>
      <xdr:rowOff>104775</xdr:rowOff>
    </xdr:to>
    <xdr:grpSp>
      <xdr:nvGrpSpPr>
        <xdr:cNvPr id="181154" name="Descar_Pago" hidden="1">
          <a:extLst>
            <a:ext uri="{FF2B5EF4-FFF2-40B4-BE49-F238E27FC236}">
              <a16:creationId xmlns:a16="http://schemas.microsoft.com/office/drawing/2014/main" id="{00000000-0008-0000-0900-0000A2C30200}"/>
            </a:ext>
          </a:extLst>
        </xdr:cNvPr>
        <xdr:cNvGrpSpPr>
          <a:grpSpLocks/>
        </xdr:cNvGrpSpPr>
      </xdr:nvGrpSpPr>
      <xdr:grpSpPr bwMode="auto">
        <a:xfrm>
          <a:off x="4048125" y="1190625"/>
          <a:ext cx="1238250" cy="885825"/>
          <a:chOff x="3057525" y="1504949"/>
          <a:chExt cx="1233526" cy="1008001"/>
        </a:xfrm>
      </xdr:grpSpPr>
      <xdr:sp macro="[1]!CommandButton2_Click" textlink="">
        <xdr:nvSpPr>
          <xdr:cNvPr id="10" name="9 Rectángulo" hidden="1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3057525" y="1504949"/>
            <a:ext cx="1224037" cy="1008001"/>
          </a:xfrm>
          <a:prstGeom prst="rect">
            <a:avLst/>
          </a:prstGeom>
          <a:solidFill>
            <a:schemeClr val="bg1"/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es-ES"/>
          </a:p>
        </xdr:txBody>
      </xdr:sp>
      <xdr:sp macro="[1]!R_Pago_Click" textlink="">
        <xdr:nvSpPr>
          <xdr:cNvPr id="11" name="10 Rectángulo" hidden="1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SpPr/>
        </xdr:nvSpPr>
        <xdr:spPr>
          <a:xfrm>
            <a:off x="3067014" y="1504949"/>
            <a:ext cx="1224037" cy="1008001"/>
          </a:xfrm>
          <a:prstGeom prst="rect">
            <a:avLst/>
          </a:prstGeom>
          <a:blipFill dpi="0" rotWithShape="1">
            <a:blip xmlns:r="http://schemas.openxmlformats.org/officeDocument/2006/relationships" r:embed="rId2"/>
            <a:srcRect/>
            <a:stretch>
              <a:fillRect l="15000" t="27000" r="15000" b="3000"/>
            </a:stretch>
          </a:blipFill>
          <a:ln w="12700"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36000" rIns="36000" rtlCol="0" anchor="t"/>
          <a:lstStyle/>
          <a:p>
            <a:pPr algn="ctr"/>
            <a:r>
              <a:rPr lang="es-VE" sz="900" b="1">
                <a:solidFill>
                  <a:sysClr val="windowText" lastClr="000000"/>
                </a:solidFill>
                <a:latin typeface="Trebuchet MS" pitchFamily="34" charset="0"/>
              </a:rPr>
              <a:t>DESCARGA ORDEN DE </a:t>
            </a:r>
            <a:r>
              <a:rPr lang="es-VE" sz="900" b="0">
                <a:solidFill>
                  <a:sysClr val="windowText" lastClr="000000"/>
                </a:solidFill>
                <a:latin typeface="Trebuchet MS" pitchFamily="34" charset="0"/>
              </a:rPr>
              <a:t>PAGO</a:t>
            </a:r>
          </a:p>
        </xdr:txBody>
      </xdr:sp>
    </xdr:grpSp>
    <xdr:clientData/>
  </xdr:twoCellAnchor>
  <xdr:twoCellAnchor>
    <xdr:from>
      <xdr:col>6</xdr:col>
      <xdr:colOff>209550</xdr:colOff>
      <xdr:row>13</xdr:row>
      <xdr:rowOff>390525</xdr:rowOff>
    </xdr:from>
    <xdr:to>
      <xdr:col>7</xdr:col>
      <xdr:colOff>685800</xdr:colOff>
      <xdr:row>17</xdr:row>
      <xdr:rowOff>85725</xdr:rowOff>
    </xdr:to>
    <xdr:grpSp>
      <xdr:nvGrpSpPr>
        <xdr:cNvPr id="181155" name="Descar_Benef" hidden="1">
          <a:extLst>
            <a:ext uri="{FF2B5EF4-FFF2-40B4-BE49-F238E27FC236}">
              <a16:creationId xmlns:a16="http://schemas.microsoft.com/office/drawing/2014/main" id="{00000000-0008-0000-0900-0000A3C30200}"/>
            </a:ext>
          </a:extLst>
        </xdr:cNvPr>
        <xdr:cNvGrpSpPr>
          <a:grpSpLocks/>
        </xdr:cNvGrpSpPr>
      </xdr:nvGrpSpPr>
      <xdr:grpSpPr bwMode="auto">
        <a:xfrm>
          <a:off x="4048125" y="2628900"/>
          <a:ext cx="1238250" cy="866775"/>
          <a:chOff x="6467475" y="1504949"/>
          <a:chExt cx="1233526" cy="1008001"/>
        </a:xfrm>
      </xdr:grpSpPr>
      <xdr:sp macro="[1]!CommandButton2_Click" textlink="">
        <xdr:nvSpPr>
          <xdr:cNvPr id="13" name="12 Rectángulo" hidden="1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6467475" y="1504949"/>
            <a:ext cx="1224037" cy="1008001"/>
          </a:xfrm>
          <a:prstGeom prst="rect">
            <a:avLst/>
          </a:prstGeom>
          <a:solidFill>
            <a:schemeClr val="bg1"/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36000" rIns="36000" rtlCol="0" anchor="ctr"/>
          <a:lstStyle/>
          <a:p>
            <a:endParaRPr lang="es-ES"/>
          </a:p>
        </xdr:txBody>
      </xdr:sp>
      <xdr:sp macro="[1]!R_Beneficiarios_Click" textlink="">
        <xdr:nvSpPr>
          <xdr:cNvPr id="14" name="13 Rectángulo" hidden="1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SpPr/>
        </xdr:nvSpPr>
        <xdr:spPr>
          <a:xfrm>
            <a:off x="6476964" y="1504949"/>
            <a:ext cx="1224037" cy="1008001"/>
          </a:xfrm>
          <a:prstGeom prst="rect">
            <a:avLst/>
          </a:prstGeom>
          <a:blipFill dpi="0" rotWithShape="1">
            <a:blip xmlns:r="http://schemas.openxmlformats.org/officeDocument/2006/relationships" r:embed="rId2"/>
            <a:srcRect/>
            <a:stretch>
              <a:fillRect l="15000" t="27000" r="15000" b="3000"/>
            </a:stretch>
          </a:blipFill>
          <a:ln w="12700"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36000" rIns="36000" rtlCol="0" anchor="t"/>
          <a:lstStyle/>
          <a:p>
            <a:pPr algn="ctr"/>
            <a:r>
              <a:rPr lang="es-VE" sz="900" b="1">
                <a:solidFill>
                  <a:sysClr val="windowText" lastClr="000000"/>
                </a:solidFill>
                <a:latin typeface="Trebuchet MS" pitchFamily="34" charset="0"/>
              </a:rPr>
              <a:t>DESCARGA</a:t>
            </a:r>
            <a:r>
              <a:rPr lang="es-VE" sz="900" b="1" baseline="0">
                <a:solidFill>
                  <a:sysClr val="windowText" lastClr="000000"/>
                </a:solidFill>
                <a:latin typeface="Trebuchet MS" pitchFamily="34" charset="0"/>
              </a:rPr>
              <a:t> BENEFICIARIOS</a:t>
            </a:r>
            <a:endParaRPr lang="es-VE" sz="900" b="1">
              <a:solidFill>
                <a:sysClr val="windowText" lastClr="000000"/>
              </a:solidFill>
              <a:latin typeface="Trebuchet MS" pitchFamily="34" charset="0"/>
            </a:endParaRPr>
          </a:p>
        </xdr:txBody>
      </xdr:sp>
    </xdr:grpSp>
    <xdr:clientData/>
  </xdr:twoCellAnchor>
  <xdr:twoCellAnchor editAs="oneCell">
    <xdr:from>
      <xdr:col>2</xdr:col>
      <xdr:colOff>266700</xdr:colOff>
      <xdr:row>36</xdr:row>
      <xdr:rowOff>95250</xdr:rowOff>
    </xdr:from>
    <xdr:to>
      <xdr:col>2</xdr:col>
      <xdr:colOff>552450</xdr:colOff>
      <xdr:row>37</xdr:row>
      <xdr:rowOff>142875</xdr:rowOff>
    </xdr:to>
    <xdr:pic>
      <xdr:nvPicPr>
        <xdr:cNvPr id="181156" name="4 Imagen" descr="Excel2003.JPG" hidden="1">
          <a:hlinkClick xmlns:r="http://schemas.openxmlformats.org/officeDocument/2006/relationships" r:id="rId3" tooltip="Ayuda"/>
          <a:extLst>
            <a:ext uri="{FF2B5EF4-FFF2-40B4-BE49-F238E27FC236}">
              <a16:creationId xmlns:a16="http://schemas.microsoft.com/office/drawing/2014/main" id="{00000000-0008-0000-0900-0000A4C3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91" t="8966" r="5150" b="7510"/>
        <a:stretch>
          <a:fillRect/>
        </a:stretch>
      </xdr:blipFill>
      <xdr:spPr bwMode="auto">
        <a:xfrm>
          <a:off x="1790700" y="6248400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609600</xdr:colOff>
      <xdr:row>36</xdr:row>
      <xdr:rowOff>95250</xdr:rowOff>
    </xdr:from>
    <xdr:to>
      <xdr:col>4</xdr:col>
      <xdr:colOff>66675</xdr:colOff>
      <xdr:row>37</xdr:row>
      <xdr:rowOff>133350</xdr:rowOff>
    </xdr:to>
    <xdr:pic>
      <xdr:nvPicPr>
        <xdr:cNvPr id="181157" name="5 Imagen" descr="Excel2007.JPG" hidden="1">
          <a:hlinkClick xmlns:r="http://schemas.openxmlformats.org/officeDocument/2006/relationships" r:id="rId5" tooltip="Ayuda"/>
          <a:extLst>
            <a:ext uri="{FF2B5EF4-FFF2-40B4-BE49-F238E27FC236}">
              <a16:creationId xmlns:a16="http://schemas.microsoft.com/office/drawing/2014/main" id="{00000000-0008-0000-0900-0000A5C3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3600" y="6248400"/>
          <a:ext cx="247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171450</xdr:colOff>
      <xdr:row>36</xdr:row>
      <xdr:rowOff>85725</xdr:rowOff>
    </xdr:from>
    <xdr:to>
      <xdr:col>4</xdr:col>
      <xdr:colOff>419100</xdr:colOff>
      <xdr:row>37</xdr:row>
      <xdr:rowOff>114300</xdr:rowOff>
    </xdr:to>
    <xdr:pic>
      <xdr:nvPicPr>
        <xdr:cNvPr id="181158" name="6 Imagen" descr="Excel 2010.png" hidden="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900-0000A6C3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6025" y="6238875"/>
          <a:ext cx="2476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352425</xdr:colOff>
      <xdr:row>12</xdr:row>
      <xdr:rowOff>152400</xdr:rowOff>
    </xdr:from>
    <xdr:to>
      <xdr:col>12</xdr:col>
      <xdr:colOff>409575</xdr:colOff>
      <xdr:row>16</xdr:row>
      <xdr:rowOff>133350</xdr:rowOff>
    </xdr:to>
    <xdr:grpSp>
      <xdr:nvGrpSpPr>
        <xdr:cNvPr id="181159" name="24 Grupo">
          <a:extLst>
            <a:ext uri="{FF2B5EF4-FFF2-40B4-BE49-F238E27FC236}">
              <a16:creationId xmlns:a16="http://schemas.microsoft.com/office/drawing/2014/main" id="{00000000-0008-0000-0900-0000A7C30200}"/>
            </a:ext>
          </a:extLst>
        </xdr:cNvPr>
        <xdr:cNvGrpSpPr>
          <a:grpSpLocks/>
        </xdr:cNvGrpSpPr>
      </xdr:nvGrpSpPr>
      <xdr:grpSpPr bwMode="auto">
        <a:xfrm>
          <a:off x="2667000" y="2124075"/>
          <a:ext cx="5419725" cy="1209675"/>
          <a:chOff x="1085851" y="2188299"/>
          <a:chExt cx="5428889" cy="2002701"/>
        </a:xfrm>
      </xdr:grpSpPr>
      <xdr:sp macro="" textlink="">
        <xdr:nvSpPr>
          <xdr:cNvPr id="31" name="30 Rectángulo redondeado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/>
        </xdr:nvSpPr>
        <xdr:spPr>
          <a:xfrm>
            <a:off x="1085851" y="2361761"/>
            <a:ext cx="5428889" cy="1829239"/>
          </a:xfrm>
          <a:prstGeom prst="roundRect">
            <a:avLst>
              <a:gd name="adj" fmla="val 2075"/>
            </a:avLst>
          </a:prstGeom>
          <a:noFill/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32" name="31 Rectángulo redondeado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SpPr/>
        </xdr:nvSpPr>
        <xdr:spPr>
          <a:xfrm>
            <a:off x="1181262" y="2188299"/>
            <a:ext cx="2337571" cy="331155"/>
          </a:xfrm>
          <a:prstGeom prst="roundRect">
            <a:avLst>
              <a:gd name="adj" fmla="val 24074"/>
            </a:avLst>
          </a:prstGeom>
          <a:solidFill>
            <a:schemeClr val="bg1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s-VE" sz="1050" b="1">
                <a:solidFill>
                  <a:schemeClr val="tx1">
                    <a:lumMod val="75000"/>
                    <a:lumOff val="25000"/>
                  </a:schemeClr>
                </a:solidFill>
                <a:latin typeface="Trebuchet MS" pitchFamily="34" charset="0"/>
              </a:rPr>
              <a:t>SELECCIONE EL TIPO DE ARCHIVO</a:t>
            </a:r>
          </a:p>
        </xdr:txBody>
      </xdr:sp>
    </xdr:grpSp>
    <xdr:clientData/>
  </xdr:twoCellAnchor>
  <xdr:twoCellAnchor>
    <xdr:from>
      <xdr:col>5</xdr:col>
      <xdr:colOff>38100</xdr:colOff>
      <xdr:row>13</xdr:row>
      <xdr:rowOff>381000</xdr:rowOff>
    </xdr:from>
    <xdr:to>
      <xdr:col>7</xdr:col>
      <xdr:colOff>504825</xdr:colOff>
      <xdr:row>14</xdr:row>
      <xdr:rowOff>133350</xdr:rowOff>
    </xdr:to>
    <xdr:grpSp>
      <xdr:nvGrpSpPr>
        <xdr:cNvPr id="181160" name="51 Grupo">
          <a:extLst>
            <a:ext uri="{FF2B5EF4-FFF2-40B4-BE49-F238E27FC236}">
              <a16:creationId xmlns:a16="http://schemas.microsoft.com/office/drawing/2014/main" id="{00000000-0008-0000-0900-0000A8C30200}"/>
            </a:ext>
          </a:extLst>
        </xdr:cNvPr>
        <xdr:cNvGrpSpPr>
          <a:grpSpLocks/>
        </xdr:cNvGrpSpPr>
      </xdr:nvGrpSpPr>
      <xdr:grpSpPr bwMode="auto">
        <a:xfrm>
          <a:off x="3114675" y="2619375"/>
          <a:ext cx="1990725" cy="352425"/>
          <a:chOff x="1628775" y="2809875"/>
          <a:chExt cx="1991524" cy="352425"/>
        </a:xfrm>
      </xdr:grpSpPr>
      <xdr:pic macro="[0]!Pago_Click">
        <xdr:nvPicPr>
          <xdr:cNvPr id="181171" name="32 Imagen">
            <a:extLst>
              <a:ext uri="{FF2B5EF4-FFF2-40B4-BE49-F238E27FC236}">
                <a16:creationId xmlns:a16="http://schemas.microsoft.com/office/drawing/2014/main" id="{00000000-0008-0000-0900-0000B3C302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28775" y="2809875"/>
            <a:ext cx="1991524" cy="3524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Pago_Click" textlink="">
        <xdr:nvSpPr>
          <xdr:cNvPr id="35" name="34 CuadroTexto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SpPr txBox="1"/>
        </xdr:nvSpPr>
        <xdr:spPr>
          <a:xfrm>
            <a:off x="1628775" y="2819400"/>
            <a:ext cx="1972466" cy="342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VE" sz="900" b="1">
                <a:solidFill>
                  <a:schemeClr val="bg1"/>
                </a:solidFill>
                <a:latin typeface="Trebuchet MS" pitchFamily="34" charset="0"/>
              </a:rPr>
              <a:t> ORDEN DE PAGO</a:t>
            </a:r>
          </a:p>
        </xdr:txBody>
      </xdr:sp>
    </xdr:grpSp>
    <xdr:clientData/>
  </xdr:twoCellAnchor>
  <xdr:twoCellAnchor>
    <xdr:from>
      <xdr:col>8</xdr:col>
      <xdr:colOff>276225</xdr:colOff>
      <xdr:row>13</xdr:row>
      <xdr:rowOff>371475</xdr:rowOff>
    </xdr:from>
    <xdr:to>
      <xdr:col>11</xdr:col>
      <xdr:colOff>714375</xdr:colOff>
      <xdr:row>14</xdr:row>
      <xdr:rowOff>123825</xdr:rowOff>
    </xdr:to>
    <xdr:grpSp>
      <xdr:nvGrpSpPr>
        <xdr:cNvPr id="181161" name="51 Grupo">
          <a:extLst>
            <a:ext uri="{FF2B5EF4-FFF2-40B4-BE49-F238E27FC236}">
              <a16:creationId xmlns:a16="http://schemas.microsoft.com/office/drawing/2014/main" id="{00000000-0008-0000-0900-0000A9C30200}"/>
            </a:ext>
          </a:extLst>
        </xdr:cNvPr>
        <xdr:cNvGrpSpPr>
          <a:grpSpLocks/>
        </xdr:cNvGrpSpPr>
      </xdr:nvGrpSpPr>
      <xdr:grpSpPr bwMode="auto">
        <a:xfrm>
          <a:off x="5638800" y="2609850"/>
          <a:ext cx="1990725" cy="352425"/>
          <a:chOff x="1628775" y="2809875"/>
          <a:chExt cx="1991524" cy="352425"/>
        </a:xfrm>
      </xdr:grpSpPr>
      <xdr:pic macro="[0]!Beneficiarios_Click">
        <xdr:nvPicPr>
          <xdr:cNvPr id="181169" name="32 Imagen">
            <a:extLst>
              <a:ext uri="{FF2B5EF4-FFF2-40B4-BE49-F238E27FC236}">
                <a16:creationId xmlns:a16="http://schemas.microsoft.com/office/drawing/2014/main" id="{00000000-0008-0000-0900-0000B1C302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28775" y="2809875"/>
            <a:ext cx="1991524" cy="3524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Beneficiarios_Click" textlink="">
        <xdr:nvSpPr>
          <xdr:cNvPr id="38" name="37 CuadroTexto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SpPr txBox="1"/>
        </xdr:nvSpPr>
        <xdr:spPr>
          <a:xfrm>
            <a:off x="1628775" y="2819400"/>
            <a:ext cx="1972466" cy="342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VE" sz="900" b="1">
                <a:solidFill>
                  <a:schemeClr val="bg1"/>
                </a:solidFill>
                <a:latin typeface="Trebuchet MS" pitchFamily="34" charset="0"/>
              </a:rPr>
              <a:t>BENEFICIARIOS DE</a:t>
            </a:r>
            <a:r>
              <a:rPr lang="es-VE" sz="900" b="1" baseline="0">
                <a:solidFill>
                  <a:schemeClr val="bg1"/>
                </a:solidFill>
                <a:latin typeface="Trebuchet MS" pitchFamily="34" charset="0"/>
              </a:rPr>
              <a:t> PAGO</a:t>
            </a:r>
            <a:endParaRPr lang="es-VE" sz="900" b="1">
              <a:solidFill>
                <a:schemeClr val="bg1"/>
              </a:solidFill>
              <a:latin typeface="Trebuchet MS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14</xdr:col>
      <xdr:colOff>542925</xdr:colOff>
      <xdr:row>2</xdr:row>
      <xdr:rowOff>171450</xdr:rowOff>
    </xdr:to>
    <xdr:grpSp>
      <xdr:nvGrpSpPr>
        <xdr:cNvPr id="181162" name="27 Grupo">
          <a:extLst>
            <a:ext uri="{FF2B5EF4-FFF2-40B4-BE49-F238E27FC236}">
              <a16:creationId xmlns:a16="http://schemas.microsoft.com/office/drawing/2014/main" id="{00000000-0008-0000-0900-0000AAC30200}"/>
            </a:ext>
          </a:extLst>
        </xdr:cNvPr>
        <xdr:cNvGrpSpPr>
          <a:grpSpLocks/>
        </xdr:cNvGrpSpPr>
      </xdr:nvGrpSpPr>
      <xdr:grpSpPr bwMode="auto">
        <a:xfrm>
          <a:off x="0" y="0"/>
          <a:ext cx="9744075" cy="361950"/>
          <a:chOff x="647701" y="2219327"/>
          <a:chExt cx="8642086" cy="419201"/>
        </a:xfrm>
      </xdr:grpSpPr>
      <xdr:pic macro="[0]!CerrarFormulario">
        <xdr:nvPicPr>
          <xdr:cNvPr id="40" name="39 Imagen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65378" t="48218" r="17143" b="46556"/>
          <a:stretch/>
        </xdr:blipFill>
        <xdr:spPr>
          <a:xfrm>
            <a:off x="8501575" y="2219328"/>
            <a:ext cx="788212" cy="411789"/>
          </a:xfrm>
          <a:prstGeom prst="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</xdr:pic>
      <xdr:pic macro="[0]!Form_Help">
        <xdr:nvPicPr>
          <xdr:cNvPr id="41" name="40 Imagen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235" t="48218" r="74622" b="46556"/>
          <a:stretch/>
        </xdr:blipFill>
        <xdr:spPr>
          <a:xfrm>
            <a:off x="647701" y="2219327"/>
            <a:ext cx="786970" cy="419201"/>
          </a:xfrm>
          <a:prstGeom prst="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</xdr:pic>
      <xdr:pic>
        <xdr:nvPicPr>
          <xdr:cNvPr id="42" name="41 Imagen">
            <a:extLst>
              <a:ext uri="{FF2B5EF4-FFF2-40B4-BE49-F238E27FC236}">
                <a16:creationId xmlns:a16="http://schemas.microsoft.com/office/drawing/2014/main" id="{00000000-0008-0000-0900-00002A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0253" t="33492" r="8067" b="61401"/>
          <a:stretch/>
        </xdr:blipFill>
        <xdr:spPr>
          <a:xfrm>
            <a:off x="1790700" y="2224089"/>
            <a:ext cx="6309798" cy="409575"/>
          </a:xfrm>
          <a:prstGeom prst="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</xdr:pic>
    </xdr:grpSp>
    <xdr:clientData fPrintsWithSheet="0"/>
  </xdr:twoCellAnchor>
  <xdr:twoCellAnchor>
    <xdr:from>
      <xdr:col>7</xdr:col>
      <xdr:colOff>457200</xdr:colOff>
      <xdr:row>1</xdr:row>
      <xdr:rowOff>95250</xdr:rowOff>
    </xdr:from>
    <xdr:to>
      <xdr:col>7</xdr:col>
      <xdr:colOff>457200</xdr:colOff>
      <xdr:row>2</xdr:row>
      <xdr:rowOff>95250</xdr:rowOff>
    </xdr:to>
    <xdr:cxnSp macro="">
      <xdr:nvCxnSpPr>
        <xdr:cNvPr id="44" name="43 Conector recto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CxnSpPr/>
      </xdr:nvCxnSpPr>
      <xdr:spPr bwMode="auto">
        <a:xfrm flipV="1">
          <a:off x="5057775" y="95250"/>
          <a:ext cx="0" cy="1905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742948</xdr:colOff>
      <xdr:row>1</xdr:row>
      <xdr:rowOff>57150</xdr:rowOff>
    </xdr:from>
    <xdr:to>
      <xdr:col>7</xdr:col>
      <xdr:colOff>370948</xdr:colOff>
      <xdr:row>2</xdr:row>
      <xdr:rowOff>142875</xdr:rowOff>
    </xdr:to>
    <xdr:sp macro="" textlink="">
      <xdr:nvSpPr>
        <xdr:cNvPr id="25" name="24 CuadroTexto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 txBox="1"/>
      </xdr:nvSpPr>
      <xdr:spPr bwMode="auto">
        <a:xfrm>
          <a:off x="3819523" y="57150"/>
          <a:ext cx="115200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s-VE" sz="1200" b="1" u="sng">
              <a:ln>
                <a:noFill/>
              </a:ln>
              <a:solidFill>
                <a:schemeClr val="bg1"/>
              </a:solidFill>
              <a:effectLst>
                <a:glow rad="228600">
                  <a:schemeClr val="accent3">
                    <a:satMod val="175000"/>
                    <a:alpha val="40000"/>
                  </a:schemeClr>
                </a:glow>
              </a:effectLst>
            </a:rPr>
            <a:t>Menú</a:t>
          </a:r>
          <a:r>
            <a:rPr lang="es-VE" sz="1200" b="1" u="sng" baseline="0">
              <a:ln>
                <a:noFill/>
              </a:ln>
              <a:solidFill>
                <a:schemeClr val="bg1"/>
              </a:solidFill>
              <a:effectLst>
                <a:glow rad="228600">
                  <a:schemeClr val="accent3">
                    <a:satMod val="175000"/>
                    <a:alpha val="40000"/>
                  </a:schemeClr>
                </a:glow>
              </a:effectLst>
            </a:rPr>
            <a:t> </a:t>
          </a:r>
          <a:r>
            <a:rPr lang="es-VE" sz="1200" b="1" u="sng">
              <a:ln>
                <a:noFill/>
              </a:ln>
              <a:solidFill>
                <a:schemeClr val="bg1"/>
              </a:solidFill>
              <a:effectLst>
                <a:glow rad="228600">
                  <a:schemeClr val="accent3">
                    <a:satMod val="175000"/>
                    <a:alpha val="40000"/>
                  </a:schemeClr>
                </a:glow>
              </a:effectLst>
            </a:rPr>
            <a:t>Inicial</a:t>
          </a:r>
        </a:p>
      </xdr:txBody>
    </xdr:sp>
    <xdr:clientData/>
  </xdr:twoCellAnchor>
  <xdr:twoCellAnchor editAs="oneCell">
    <xdr:from>
      <xdr:col>0</xdr:col>
      <xdr:colOff>57150</xdr:colOff>
      <xdr:row>2</xdr:row>
      <xdr:rowOff>228600</xdr:rowOff>
    </xdr:from>
    <xdr:to>
      <xdr:col>1</xdr:col>
      <xdr:colOff>657225</xdr:colOff>
      <xdr:row>7</xdr:row>
      <xdr:rowOff>38100</xdr:rowOff>
    </xdr:to>
    <xdr:pic>
      <xdr:nvPicPr>
        <xdr:cNvPr id="181165" name="1 Imagen">
          <a:extLst>
            <a:ext uri="{FF2B5EF4-FFF2-40B4-BE49-F238E27FC236}">
              <a16:creationId xmlns:a16="http://schemas.microsoft.com/office/drawing/2014/main" id="{00000000-0008-0000-0900-0000ADC3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419100"/>
          <a:ext cx="1362075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2</xdr:row>
      <xdr:rowOff>0</xdr:rowOff>
    </xdr:from>
    <xdr:to>
      <xdr:col>1</xdr:col>
      <xdr:colOff>742950</xdr:colOff>
      <xdr:row>5</xdr:row>
      <xdr:rowOff>142875</xdr:rowOff>
    </xdr:to>
    <xdr:pic>
      <xdr:nvPicPr>
        <xdr:cNvPr id="183975" name="IMAGEN_CORP" descr="logotipo Corp Banca, BU plantillas.jpg" hidden="1">
          <a:extLst>
            <a:ext uri="{FF2B5EF4-FFF2-40B4-BE49-F238E27FC236}">
              <a16:creationId xmlns:a16="http://schemas.microsoft.com/office/drawing/2014/main" id="{00000000-0008-0000-0B00-0000A7CE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409575"/>
          <a:ext cx="800100" cy="704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76200</xdr:colOff>
      <xdr:row>1</xdr:row>
      <xdr:rowOff>152400</xdr:rowOff>
    </xdr:from>
    <xdr:to>
      <xdr:col>2</xdr:col>
      <xdr:colOff>133350</xdr:colOff>
      <xdr:row>5</xdr:row>
      <xdr:rowOff>38100</xdr:rowOff>
    </xdr:to>
    <xdr:pic>
      <xdr:nvPicPr>
        <xdr:cNvPr id="183976" name="1 Imagen">
          <a:extLst>
            <a:ext uri="{FF2B5EF4-FFF2-40B4-BE49-F238E27FC236}">
              <a16:creationId xmlns:a16="http://schemas.microsoft.com/office/drawing/2014/main" id="{00000000-0008-0000-0B00-0000A8CE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352425"/>
          <a:ext cx="107632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11</xdr:row>
      <xdr:rowOff>266700</xdr:rowOff>
    </xdr:from>
    <xdr:to>
      <xdr:col>23</xdr:col>
      <xdr:colOff>0</xdr:colOff>
      <xdr:row>13</xdr:row>
      <xdr:rowOff>0</xdr:rowOff>
    </xdr:to>
    <xdr:sp macro="" textlink="">
      <xdr:nvSpPr>
        <xdr:cNvPr id="4" name="3 Redondear rectángulo de esquina del mismo lado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95250" y="2476500"/>
          <a:ext cx="21336000" cy="371475"/>
        </a:xfrm>
        <a:prstGeom prst="round2SameRect">
          <a:avLst>
            <a:gd name="adj1" fmla="val 20635"/>
            <a:gd name="adj2" fmla="val 0"/>
          </a:avLst>
        </a:prstGeom>
        <a:noFill/>
        <a:ln>
          <a:solidFill>
            <a:srgbClr val="50B84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993600</xdr:colOff>
      <xdr:row>8</xdr:row>
      <xdr:rowOff>219075</xdr:rowOff>
    </xdr:to>
    <xdr:sp macro="" textlink="">
      <xdr:nvSpPr>
        <xdr:cNvPr id="77" name="76 Rectángulo redondeado">
          <a:extLst>
            <a:ext uri="{FF2B5EF4-FFF2-40B4-BE49-F238E27FC236}">
              <a16:creationId xmlns:a16="http://schemas.microsoft.com/office/drawing/2014/main" id="{00000000-0008-0000-0B00-00004D000000}"/>
            </a:ext>
          </a:extLst>
        </xdr:cNvPr>
        <xdr:cNvSpPr/>
      </xdr:nvSpPr>
      <xdr:spPr>
        <a:xfrm>
          <a:off x="104775" y="1590675"/>
          <a:ext cx="1908000" cy="219075"/>
        </a:xfrm>
        <a:prstGeom prst="roundRect">
          <a:avLst/>
        </a:prstGeom>
        <a:noFill/>
        <a:ln w="1270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3</xdr:col>
      <xdr:colOff>19050</xdr:colOff>
      <xdr:row>8</xdr:row>
      <xdr:rowOff>0</xdr:rowOff>
    </xdr:from>
    <xdr:to>
      <xdr:col>3</xdr:col>
      <xdr:colOff>1963050</xdr:colOff>
      <xdr:row>8</xdr:row>
      <xdr:rowOff>219075</xdr:rowOff>
    </xdr:to>
    <xdr:sp macro="" textlink="">
      <xdr:nvSpPr>
        <xdr:cNvPr id="78" name="77 Rectángulo redondeado">
          <a:extLst>
            <a:ext uri="{FF2B5EF4-FFF2-40B4-BE49-F238E27FC236}">
              <a16:creationId xmlns:a16="http://schemas.microsoft.com/office/drawing/2014/main" id="{00000000-0008-0000-0B00-00004E000000}"/>
            </a:ext>
          </a:extLst>
        </xdr:cNvPr>
        <xdr:cNvSpPr/>
      </xdr:nvSpPr>
      <xdr:spPr>
        <a:xfrm>
          <a:off x="2047875" y="1590675"/>
          <a:ext cx="1944000" cy="219075"/>
        </a:xfrm>
        <a:prstGeom prst="roundRect">
          <a:avLst/>
        </a:prstGeom>
        <a:noFill/>
        <a:ln w="1270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4</xdr:col>
      <xdr:colOff>9525</xdr:colOff>
      <xdr:row>8</xdr:row>
      <xdr:rowOff>0</xdr:rowOff>
    </xdr:from>
    <xdr:to>
      <xdr:col>6</xdr:col>
      <xdr:colOff>23625</xdr:colOff>
      <xdr:row>8</xdr:row>
      <xdr:rowOff>219075</xdr:rowOff>
    </xdr:to>
    <xdr:sp macro="" textlink="">
      <xdr:nvSpPr>
        <xdr:cNvPr id="79" name="78 Rectángulo redondeado">
          <a:extLst>
            <a:ext uri="{FF2B5EF4-FFF2-40B4-BE49-F238E27FC236}">
              <a16:creationId xmlns:a16="http://schemas.microsoft.com/office/drawing/2014/main" id="{00000000-0008-0000-0B00-00004F000000}"/>
            </a:ext>
          </a:extLst>
        </xdr:cNvPr>
        <xdr:cNvSpPr/>
      </xdr:nvSpPr>
      <xdr:spPr>
        <a:xfrm>
          <a:off x="4029075" y="1590675"/>
          <a:ext cx="3024000" cy="219075"/>
        </a:xfrm>
        <a:prstGeom prst="roundRect">
          <a:avLst/>
        </a:prstGeom>
        <a:noFill/>
        <a:ln w="1270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993600</xdr:colOff>
      <xdr:row>10</xdr:row>
      <xdr:rowOff>219075</xdr:rowOff>
    </xdr:to>
    <xdr:sp macro="" textlink="">
      <xdr:nvSpPr>
        <xdr:cNvPr id="80" name="79 Rectángulo redondeado">
          <a:extLst>
            <a:ext uri="{FF2B5EF4-FFF2-40B4-BE49-F238E27FC236}">
              <a16:creationId xmlns:a16="http://schemas.microsoft.com/office/drawing/2014/main" id="{00000000-0008-0000-0B00-000050000000}"/>
            </a:ext>
          </a:extLst>
        </xdr:cNvPr>
        <xdr:cNvSpPr/>
      </xdr:nvSpPr>
      <xdr:spPr>
        <a:xfrm>
          <a:off x="104775" y="1981200"/>
          <a:ext cx="1908000" cy="219075"/>
        </a:xfrm>
        <a:prstGeom prst="roundRect">
          <a:avLst/>
        </a:prstGeom>
        <a:noFill/>
        <a:ln w="1270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3</xdr:col>
      <xdr:colOff>19050</xdr:colOff>
      <xdr:row>10</xdr:row>
      <xdr:rowOff>0</xdr:rowOff>
    </xdr:from>
    <xdr:to>
      <xdr:col>3</xdr:col>
      <xdr:colOff>1963050</xdr:colOff>
      <xdr:row>10</xdr:row>
      <xdr:rowOff>219075</xdr:rowOff>
    </xdr:to>
    <xdr:sp macro="" textlink="">
      <xdr:nvSpPr>
        <xdr:cNvPr id="81" name="80 Rectángulo redondeado">
          <a:extLs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SpPr/>
      </xdr:nvSpPr>
      <xdr:spPr>
        <a:xfrm>
          <a:off x="2047875" y="1981200"/>
          <a:ext cx="1944000" cy="219075"/>
        </a:xfrm>
        <a:prstGeom prst="roundRect">
          <a:avLst/>
        </a:prstGeom>
        <a:noFill/>
        <a:ln w="1270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4</xdr:col>
      <xdr:colOff>9525</xdr:colOff>
      <xdr:row>10</xdr:row>
      <xdr:rowOff>0</xdr:rowOff>
    </xdr:from>
    <xdr:to>
      <xdr:col>6</xdr:col>
      <xdr:colOff>23625</xdr:colOff>
      <xdr:row>10</xdr:row>
      <xdr:rowOff>219075</xdr:rowOff>
    </xdr:to>
    <xdr:sp macro="" textlink="">
      <xdr:nvSpPr>
        <xdr:cNvPr id="82" name="81 Rectángulo redondeado">
          <a:extLst>
            <a:ext uri="{FF2B5EF4-FFF2-40B4-BE49-F238E27FC236}">
              <a16:creationId xmlns:a16="http://schemas.microsoft.com/office/drawing/2014/main" id="{00000000-0008-0000-0B00-000052000000}"/>
            </a:ext>
          </a:extLst>
        </xdr:cNvPr>
        <xdr:cNvSpPr/>
      </xdr:nvSpPr>
      <xdr:spPr>
        <a:xfrm>
          <a:off x="4029075" y="1981200"/>
          <a:ext cx="3024000" cy="219075"/>
        </a:xfrm>
        <a:prstGeom prst="roundRect">
          <a:avLst/>
        </a:prstGeom>
        <a:noFill/>
        <a:ln w="1270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0</xdr:col>
      <xdr:colOff>66675</xdr:colOff>
      <xdr:row>5</xdr:row>
      <xdr:rowOff>257174</xdr:rowOff>
    </xdr:from>
    <xdr:to>
      <xdr:col>6</xdr:col>
      <xdr:colOff>93225</xdr:colOff>
      <xdr:row>11</xdr:row>
      <xdr:rowOff>98924</xdr:rowOff>
    </xdr:to>
    <xdr:sp macro="" textlink="">
      <xdr:nvSpPr>
        <xdr:cNvPr id="83" name="82 Rectángulo redondeado">
          <a:extLst>
            <a:ext uri="{FF2B5EF4-FFF2-40B4-BE49-F238E27FC236}">
              <a16:creationId xmlns:a16="http://schemas.microsoft.com/office/drawing/2014/main" id="{00000000-0008-0000-0B00-000053000000}"/>
            </a:ext>
          </a:extLst>
        </xdr:cNvPr>
        <xdr:cNvSpPr/>
      </xdr:nvSpPr>
      <xdr:spPr>
        <a:xfrm>
          <a:off x="66675" y="1228724"/>
          <a:ext cx="7056000" cy="1080000"/>
        </a:xfrm>
        <a:prstGeom prst="roundRect">
          <a:avLst>
            <a:gd name="adj" fmla="val 2556"/>
          </a:avLst>
        </a:prstGeom>
        <a:noFill/>
        <a:ln w="1270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 editAs="oneCell">
    <xdr:from>
      <xdr:col>1</xdr:col>
      <xdr:colOff>38100</xdr:colOff>
      <xdr:row>5</xdr:row>
      <xdr:rowOff>171450</xdr:rowOff>
    </xdr:from>
    <xdr:to>
      <xdr:col>2</xdr:col>
      <xdr:colOff>619125</xdr:colOff>
      <xdr:row>6</xdr:row>
      <xdr:rowOff>123825</xdr:rowOff>
    </xdr:to>
    <xdr:sp macro="" textlink="">
      <xdr:nvSpPr>
        <xdr:cNvPr id="48" name="AutoShape 33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SpPr>
          <a:spLocks noChangeArrowheads="1"/>
        </xdr:cNvSpPr>
      </xdr:nvSpPr>
      <xdr:spPr bwMode="auto">
        <a:xfrm>
          <a:off x="142875" y="1143000"/>
          <a:ext cx="1495425" cy="209550"/>
        </a:xfrm>
        <a:prstGeom prst="roundRect">
          <a:avLst>
            <a:gd name="adj" fmla="val 16667"/>
          </a:avLst>
        </a:prstGeom>
        <a:solidFill>
          <a:schemeClr val="bg1"/>
        </a:solidFill>
        <a:ln w="9525" algn="ctr">
          <a:noFill/>
          <a:round/>
          <a:headEnd/>
          <a:tailEnd/>
        </a:ln>
        <a:effectLst/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es-VE" sz="900" b="1" i="0" u="none" strike="noStrike" baseline="0">
              <a:solidFill>
                <a:schemeClr val="tx1">
                  <a:lumMod val="75000"/>
                  <a:lumOff val="25000"/>
                </a:schemeClr>
              </a:solidFill>
              <a:latin typeface="Trebuchet MS" pitchFamily="34" charset="0"/>
            </a:rPr>
            <a:t>DATOS DE LA OPERACIÓN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7</xdr:col>
      <xdr:colOff>1224000</xdr:colOff>
      <xdr:row>8</xdr:row>
      <xdr:rowOff>219075</xdr:rowOff>
    </xdr:to>
    <xdr:sp macro="" textlink="">
      <xdr:nvSpPr>
        <xdr:cNvPr id="84" name="83 Rectángulo redondeado">
          <a:extLst>
            <a:ext uri="{FF2B5EF4-FFF2-40B4-BE49-F238E27FC236}">
              <a16:creationId xmlns:a16="http://schemas.microsoft.com/office/drawing/2014/main" id="{00000000-0008-0000-0B00-000054000000}"/>
            </a:ext>
          </a:extLst>
        </xdr:cNvPr>
        <xdr:cNvSpPr/>
      </xdr:nvSpPr>
      <xdr:spPr>
        <a:xfrm>
          <a:off x="7791450" y="1590675"/>
          <a:ext cx="1224000" cy="219075"/>
        </a:xfrm>
        <a:prstGeom prst="roundRect">
          <a:avLst/>
        </a:prstGeom>
        <a:noFill/>
        <a:ln w="1270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7</xdr:col>
      <xdr:colOff>1266825</xdr:colOff>
      <xdr:row>8</xdr:row>
      <xdr:rowOff>0</xdr:rowOff>
    </xdr:from>
    <xdr:to>
      <xdr:col>10</xdr:col>
      <xdr:colOff>7200</xdr:colOff>
      <xdr:row>8</xdr:row>
      <xdr:rowOff>219075</xdr:rowOff>
    </xdr:to>
    <xdr:sp macro="" textlink="">
      <xdr:nvSpPr>
        <xdr:cNvPr id="85" name="84 Rectángulo redondeado">
          <a:extLst>
            <a:ext uri="{FF2B5EF4-FFF2-40B4-BE49-F238E27FC236}">
              <a16:creationId xmlns:a16="http://schemas.microsoft.com/office/drawing/2014/main" id="{00000000-0008-0000-0B00-000055000000}"/>
            </a:ext>
          </a:extLst>
        </xdr:cNvPr>
        <xdr:cNvSpPr/>
      </xdr:nvSpPr>
      <xdr:spPr>
        <a:xfrm>
          <a:off x="9001125" y="1590675"/>
          <a:ext cx="1836000" cy="219075"/>
        </a:xfrm>
        <a:prstGeom prst="roundRect">
          <a:avLst/>
        </a:prstGeom>
        <a:noFill/>
        <a:ln w="1270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10</xdr:col>
      <xdr:colOff>38100</xdr:colOff>
      <xdr:row>8</xdr:row>
      <xdr:rowOff>0</xdr:rowOff>
    </xdr:from>
    <xdr:to>
      <xdr:col>12</xdr:col>
      <xdr:colOff>20475</xdr:colOff>
      <xdr:row>8</xdr:row>
      <xdr:rowOff>219075</xdr:rowOff>
    </xdr:to>
    <xdr:sp macro="" textlink="">
      <xdr:nvSpPr>
        <xdr:cNvPr id="86" name="85 Rectángulo redondeado">
          <a:extLst>
            <a:ext uri="{FF2B5EF4-FFF2-40B4-BE49-F238E27FC236}">
              <a16:creationId xmlns:a16="http://schemas.microsoft.com/office/drawing/2014/main" id="{00000000-0008-0000-0B00-000056000000}"/>
            </a:ext>
          </a:extLst>
        </xdr:cNvPr>
        <xdr:cNvSpPr/>
      </xdr:nvSpPr>
      <xdr:spPr>
        <a:xfrm>
          <a:off x="11077575" y="1590675"/>
          <a:ext cx="792000" cy="219075"/>
        </a:xfrm>
        <a:prstGeom prst="roundRect">
          <a:avLst/>
        </a:prstGeom>
        <a:noFill/>
        <a:ln w="1270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6</xdr:col>
      <xdr:colOff>619125</xdr:colOff>
      <xdr:row>5</xdr:row>
      <xdr:rowOff>247650</xdr:rowOff>
    </xdr:from>
    <xdr:to>
      <xdr:col>12</xdr:col>
      <xdr:colOff>155475</xdr:colOff>
      <xdr:row>9</xdr:row>
      <xdr:rowOff>114300</xdr:rowOff>
    </xdr:to>
    <xdr:sp macro="" textlink="">
      <xdr:nvSpPr>
        <xdr:cNvPr id="87" name="86 Rectángulo redondeado">
          <a:extLst>
            <a:ext uri="{FF2B5EF4-FFF2-40B4-BE49-F238E27FC236}">
              <a16:creationId xmlns:a16="http://schemas.microsoft.com/office/drawing/2014/main" id="{00000000-0008-0000-0B00-000057000000}"/>
            </a:ext>
          </a:extLst>
        </xdr:cNvPr>
        <xdr:cNvSpPr/>
      </xdr:nvSpPr>
      <xdr:spPr>
        <a:xfrm>
          <a:off x="7648575" y="1219200"/>
          <a:ext cx="4356000" cy="714375"/>
        </a:xfrm>
        <a:prstGeom prst="roundRect">
          <a:avLst>
            <a:gd name="adj" fmla="val 2556"/>
          </a:avLst>
        </a:prstGeom>
        <a:noFill/>
        <a:ln w="1270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 editAs="oneCell">
    <xdr:from>
      <xdr:col>6</xdr:col>
      <xdr:colOff>695325</xdr:colOff>
      <xdr:row>5</xdr:row>
      <xdr:rowOff>161925</xdr:rowOff>
    </xdr:from>
    <xdr:to>
      <xdr:col>8</xdr:col>
      <xdr:colOff>334125</xdr:colOff>
      <xdr:row>6</xdr:row>
      <xdr:rowOff>114300</xdr:rowOff>
    </xdr:to>
    <xdr:sp macro="" textlink="">
      <xdr:nvSpPr>
        <xdr:cNvPr id="51" name="AutoShape 33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SpPr>
          <a:spLocks noChangeArrowheads="1"/>
        </xdr:cNvSpPr>
      </xdr:nvSpPr>
      <xdr:spPr bwMode="auto">
        <a:xfrm>
          <a:off x="7724775" y="1133475"/>
          <a:ext cx="1620000" cy="209550"/>
        </a:xfrm>
        <a:prstGeom prst="roundRect">
          <a:avLst>
            <a:gd name="adj" fmla="val 16667"/>
          </a:avLst>
        </a:prstGeom>
        <a:solidFill>
          <a:schemeClr val="bg1"/>
        </a:solidFill>
        <a:ln w="9525" algn="ctr">
          <a:noFill/>
          <a:round/>
          <a:headEnd/>
          <a:tailEnd/>
        </a:ln>
        <a:effectLst/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es-VE" sz="900" b="1" i="0" u="none" strike="noStrike" baseline="0">
              <a:solidFill>
                <a:schemeClr val="tx1">
                  <a:lumMod val="75000"/>
                  <a:lumOff val="25000"/>
                </a:schemeClr>
              </a:solidFill>
              <a:latin typeface="Trebuchet MS" pitchFamily="34" charset="0"/>
            </a:rPr>
            <a:t>RESUMEN DE LA OPERACIÓN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638175</xdr:colOff>
      <xdr:row>1</xdr:row>
      <xdr:rowOff>161925</xdr:rowOff>
    </xdr:to>
    <xdr:grpSp>
      <xdr:nvGrpSpPr>
        <xdr:cNvPr id="183991" name="27 Grupo">
          <a:extLst>
            <a:ext uri="{FF2B5EF4-FFF2-40B4-BE49-F238E27FC236}">
              <a16:creationId xmlns:a16="http://schemas.microsoft.com/office/drawing/2014/main" id="{00000000-0008-0000-0B00-0000B7CE0200}"/>
            </a:ext>
          </a:extLst>
        </xdr:cNvPr>
        <xdr:cNvGrpSpPr>
          <a:grpSpLocks/>
        </xdr:cNvGrpSpPr>
      </xdr:nvGrpSpPr>
      <xdr:grpSpPr bwMode="auto">
        <a:xfrm>
          <a:off x="0" y="0"/>
          <a:ext cx="10258425" cy="361950"/>
          <a:chOff x="647701" y="2219327"/>
          <a:chExt cx="8642086" cy="419201"/>
        </a:xfrm>
      </xdr:grpSpPr>
      <xdr:pic macro="[0]!CerrarFormulario">
        <xdr:nvPicPr>
          <xdr:cNvPr id="37" name="36 Imagen">
            <a:extLst>
              <a:ext uri="{FF2B5EF4-FFF2-40B4-BE49-F238E27FC236}">
                <a16:creationId xmlns:a16="http://schemas.microsoft.com/office/drawing/2014/main" id="{00000000-0008-0000-0B00-000025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65378" t="48218" r="17143" b="46556"/>
          <a:stretch/>
        </xdr:blipFill>
        <xdr:spPr>
          <a:xfrm>
            <a:off x="8501575" y="2219328"/>
            <a:ext cx="788212" cy="411789"/>
          </a:xfrm>
          <a:prstGeom prst="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</xdr:pic>
      <xdr:pic macro="[0]!Form_Help">
        <xdr:nvPicPr>
          <xdr:cNvPr id="38" name="37 Imagen">
            <a:extLst>
              <a:ext uri="{FF2B5EF4-FFF2-40B4-BE49-F238E27FC236}">
                <a16:creationId xmlns:a16="http://schemas.microsoft.com/office/drawing/2014/main" id="{00000000-0008-0000-0B00-00002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235" t="48218" r="74622" b="46556"/>
          <a:stretch/>
        </xdr:blipFill>
        <xdr:spPr>
          <a:xfrm>
            <a:off x="647701" y="2219327"/>
            <a:ext cx="786970" cy="419201"/>
          </a:xfrm>
          <a:prstGeom prst="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</xdr:pic>
      <xdr:pic>
        <xdr:nvPicPr>
          <xdr:cNvPr id="39" name="38 Imagen">
            <a:extLst>
              <a:ext uri="{FF2B5EF4-FFF2-40B4-BE49-F238E27FC236}">
                <a16:creationId xmlns:a16="http://schemas.microsoft.com/office/drawing/2014/main" id="{00000000-0008-0000-0B00-00002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0253" t="33492" r="8067" b="61401"/>
          <a:stretch/>
        </xdr:blipFill>
        <xdr:spPr>
          <a:xfrm>
            <a:off x="1790700" y="2224089"/>
            <a:ext cx="6309798" cy="409575"/>
          </a:xfrm>
          <a:prstGeom prst="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</xdr:pic>
      <xdr:cxnSp macro="">
        <xdr:nvCxnSpPr>
          <xdr:cNvPr id="40" name="39 Conector recto">
            <a:extLst>
              <a:ext uri="{FF2B5EF4-FFF2-40B4-BE49-F238E27FC236}">
                <a16:creationId xmlns:a16="http://schemas.microsoft.com/office/drawing/2014/main" id="{00000000-0008-0000-0B00-000028000000}"/>
              </a:ext>
            </a:extLst>
          </xdr:cNvPr>
          <xdr:cNvCxnSpPr/>
        </xdr:nvCxnSpPr>
        <xdr:spPr>
          <a:xfrm flipV="1">
            <a:off x="5646791" y="2340675"/>
            <a:ext cx="0" cy="220632"/>
          </a:xfrm>
          <a:prstGeom prst="line">
            <a:avLst/>
          </a:prstGeom>
          <a:ln w="1270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 fPrintsWithSheet="0"/>
  </xdr:twoCellAnchor>
  <xdr:twoCellAnchor>
    <xdr:from>
      <xdr:col>5</xdr:col>
      <xdr:colOff>1695450</xdr:colOff>
      <xdr:row>0</xdr:row>
      <xdr:rowOff>95250</xdr:rowOff>
    </xdr:from>
    <xdr:to>
      <xdr:col>5</xdr:col>
      <xdr:colOff>1695450</xdr:colOff>
      <xdr:row>1</xdr:row>
      <xdr:rowOff>85725</xdr:rowOff>
    </xdr:to>
    <xdr:cxnSp macro="">
      <xdr:nvCxnSpPr>
        <xdr:cNvPr id="44" name="43 Conector recto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CxnSpPr/>
      </xdr:nvCxnSpPr>
      <xdr:spPr bwMode="auto">
        <a:xfrm flipV="1">
          <a:off x="6877050" y="95250"/>
          <a:ext cx="0" cy="1905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1028700</xdr:colOff>
      <xdr:row>0</xdr:row>
      <xdr:rowOff>66675</xdr:rowOff>
    </xdr:from>
    <xdr:to>
      <xdr:col>4</xdr:col>
      <xdr:colOff>297975</xdr:colOff>
      <xdr:row>1</xdr:row>
      <xdr:rowOff>142875</xdr:rowOff>
    </xdr:to>
    <xdr:sp macro="" textlink="">
      <xdr:nvSpPr>
        <xdr:cNvPr id="47" name="46 CuadroTexto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SpPr txBox="1"/>
      </xdr:nvSpPr>
      <xdr:spPr bwMode="auto">
        <a:xfrm>
          <a:off x="3057525" y="66675"/>
          <a:ext cx="126000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VE" sz="1200" b="1" u="sng">
              <a:ln>
                <a:noFill/>
              </a:ln>
              <a:solidFill>
                <a:schemeClr val="bg1"/>
              </a:solidFill>
              <a:effectLst>
                <a:glow rad="228600">
                  <a:schemeClr val="accent3">
                    <a:satMod val="175000"/>
                    <a:alpha val="40000"/>
                  </a:schemeClr>
                </a:glow>
              </a:effectLst>
            </a:rPr>
            <a:t>Ordenes</a:t>
          </a:r>
          <a:r>
            <a:rPr lang="es-VE" sz="1200" b="1" u="sng" baseline="0">
              <a:ln>
                <a:noFill/>
              </a:ln>
              <a:solidFill>
                <a:schemeClr val="bg1"/>
              </a:solidFill>
              <a:effectLst>
                <a:glow rad="228600">
                  <a:schemeClr val="accent3">
                    <a:satMod val="175000"/>
                    <a:alpha val="40000"/>
                  </a:schemeClr>
                </a:glow>
              </a:effectLst>
            </a:rPr>
            <a:t> de Pago</a:t>
          </a:r>
          <a:endParaRPr lang="es-VE" sz="1200" b="1" u="sng">
            <a:ln>
              <a:noFill/>
            </a:ln>
            <a:solidFill>
              <a:schemeClr val="bg1"/>
            </a:solidFill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5</xdr:col>
      <xdr:colOff>1695450</xdr:colOff>
      <xdr:row>0</xdr:row>
      <xdr:rowOff>57150</xdr:rowOff>
    </xdr:from>
    <xdr:to>
      <xdr:col>7</xdr:col>
      <xdr:colOff>657224</xdr:colOff>
      <xdr:row>1</xdr:row>
      <xdr:rowOff>133350</xdr:rowOff>
    </xdr:to>
    <xdr:sp macro="" textlink="">
      <xdr:nvSpPr>
        <xdr:cNvPr id="50" name="49 CuadroTexto">
          <a:hlinkClick xmlns:r="http://schemas.openxmlformats.org/officeDocument/2006/relationships" r:id="rId5" tooltip="Ver formato de Archivo"/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SpPr txBox="1"/>
      </xdr:nvSpPr>
      <xdr:spPr bwMode="auto">
        <a:xfrm>
          <a:off x="6877050" y="57150"/>
          <a:ext cx="1514474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VE" sz="1200" b="1" u="none">
              <a:ln>
                <a:noFill/>
              </a:ln>
              <a:solidFill>
                <a:schemeClr val="bg1">
                  <a:lumMod val="95000"/>
                </a:schemeClr>
              </a:solidFill>
              <a:effectLst>
                <a:glow rad="228600">
                  <a:schemeClr val="bg1">
                    <a:lumMod val="6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Formato de Archivo</a:t>
          </a:r>
        </a:p>
      </xdr:txBody>
    </xdr:sp>
    <xdr:clientData/>
  </xdr:twoCellAnchor>
  <xdr:twoCellAnchor>
    <xdr:from>
      <xdr:col>5</xdr:col>
      <xdr:colOff>742950</xdr:colOff>
      <xdr:row>0</xdr:row>
      <xdr:rowOff>57150</xdr:rowOff>
    </xdr:from>
    <xdr:to>
      <xdr:col>5</xdr:col>
      <xdr:colOff>1714950</xdr:colOff>
      <xdr:row>1</xdr:row>
      <xdr:rowOff>133350</xdr:rowOff>
    </xdr:to>
    <xdr:sp macro="" textlink="">
      <xdr:nvSpPr>
        <xdr:cNvPr id="52" name="51 CuadroTexto">
          <a:hlinkClick xmlns:r="http://schemas.openxmlformats.org/officeDocument/2006/relationships" r:id="rId6" tooltip="Ver listado de códigos de Bancos"/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SpPr txBox="1"/>
      </xdr:nvSpPr>
      <xdr:spPr bwMode="auto">
        <a:xfrm>
          <a:off x="5924550" y="57150"/>
          <a:ext cx="97200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VE" sz="1200" b="1" u="none">
              <a:ln>
                <a:noFill/>
              </a:ln>
              <a:solidFill>
                <a:schemeClr val="bg1">
                  <a:lumMod val="95000"/>
                </a:schemeClr>
              </a:solidFill>
              <a:effectLst>
                <a:glow rad="228600">
                  <a:schemeClr val="bg1">
                    <a:lumMod val="65000"/>
                    <a:alpha val="40000"/>
                  </a:schemeClr>
                </a:glow>
              </a:effectLst>
            </a:rPr>
            <a:t>Cod.</a:t>
          </a:r>
          <a:r>
            <a:rPr lang="es-VE" sz="1200" b="1" u="none" baseline="0">
              <a:ln>
                <a:noFill/>
              </a:ln>
              <a:solidFill>
                <a:schemeClr val="bg1">
                  <a:lumMod val="95000"/>
                </a:schemeClr>
              </a:solidFill>
              <a:effectLst>
                <a:glow rad="228600">
                  <a:schemeClr val="bg1">
                    <a:lumMod val="65000"/>
                    <a:alpha val="40000"/>
                  </a:schemeClr>
                </a:glow>
              </a:effectLst>
            </a:rPr>
            <a:t> Bancos</a:t>
          </a:r>
          <a:endParaRPr lang="es-VE" sz="1200" b="1" u="none">
            <a:ln>
              <a:noFill/>
            </a:ln>
            <a:solidFill>
              <a:schemeClr val="bg1">
                <a:lumMod val="95000"/>
              </a:schemeClr>
            </a:solidFill>
            <a:effectLst>
              <a:glow rad="228600">
                <a:schemeClr val="bg1">
                  <a:lumMod val="6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7</xdr:col>
      <xdr:colOff>266700</xdr:colOff>
      <xdr:row>10</xdr:row>
      <xdr:rowOff>95250</xdr:rowOff>
    </xdr:from>
    <xdr:to>
      <xdr:col>8</xdr:col>
      <xdr:colOff>85725</xdr:colOff>
      <xdr:row>11</xdr:row>
      <xdr:rowOff>114300</xdr:rowOff>
    </xdr:to>
    <xdr:grpSp>
      <xdr:nvGrpSpPr>
        <xdr:cNvPr id="183996" name="51 Grupo">
          <a:extLst>
            <a:ext uri="{FF2B5EF4-FFF2-40B4-BE49-F238E27FC236}">
              <a16:creationId xmlns:a16="http://schemas.microsoft.com/office/drawing/2014/main" id="{00000000-0008-0000-0B00-0000BCCE0200}"/>
            </a:ext>
          </a:extLst>
        </xdr:cNvPr>
        <xdr:cNvGrpSpPr>
          <a:grpSpLocks/>
        </xdr:cNvGrpSpPr>
      </xdr:nvGrpSpPr>
      <xdr:grpSpPr bwMode="auto">
        <a:xfrm>
          <a:off x="8001000" y="2076450"/>
          <a:ext cx="1095375" cy="247650"/>
          <a:chOff x="1628775" y="2809875"/>
          <a:chExt cx="1991524" cy="352425"/>
        </a:xfrm>
      </xdr:grpSpPr>
      <xdr:pic macro="[0]!Mas_Click">
        <xdr:nvPicPr>
          <xdr:cNvPr id="184007" name="32 Imagen">
            <a:extLst>
              <a:ext uri="{FF2B5EF4-FFF2-40B4-BE49-F238E27FC236}">
                <a16:creationId xmlns:a16="http://schemas.microsoft.com/office/drawing/2014/main" id="{00000000-0008-0000-0B00-0000C7CE02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28775" y="2809875"/>
            <a:ext cx="1991524" cy="3524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Mas_Click" textlink="">
        <xdr:nvSpPr>
          <xdr:cNvPr id="46" name="45 CuadroTexto">
            <a:extLst>
              <a:ext uri="{FF2B5EF4-FFF2-40B4-BE49-F238E27FC236}">
                <a16:creationId xmlns:a16="http://schemas.microsoft.com/office/drawing/2014/main" id="{00000000-0008-0000-0B00-00002E000000}"/>
              </a:ext>
            </a:extLst>
          </xdr:cNvPr>
          <xdr:cNvSpPr txBox="1"/>
        </xdr:nvSpPr>
        <xdr:spPr>
          <a:xfrm>
            <a:off x="1628775" y="2823430"/>
            <a:ext cx="1974206" cy="3388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VE" sz="900" b="1">
                <a:solidFill>
                  <a:schemeClr val="bg1"/>
                </a:solidFill>
                <a:latin typeface="Trebuchet MS" pitchFamily="34" charset="0"/>
              </a:rPr>
              <a:t>AGREGAR FILAS</a:t>
            </a:r>
          </a:p>
        </xdr:txBody>
      </xdr:sp>
    </xdr:grpSp>
    <xdr:clientData/>
  </xdr:twoCellAnchor>
  <xdr:twoCellAnchor>
    <xdr:from>
      <xdr:col>8</xdr:col>
      <xdr:colOff>133350</xdr:colOff>
      <xdr:row>10</xdr:row>
      <xdr:rowOff>95250</xdr:rowOff>
    </xdr:from>
    <xdr:to>
      <xdr:col>9</xdr:col>
      <xdr:colOff>619125</xdr:colOff>
      <xdr:row>11</xdr:row>
      <xdr:rowOff>114300</xdr:rowOff>
    </xdr:to>
    <xdr:grpSp>
      <xdr:nvGrpSpPr>
        <xdr:cNvPr id="183997" name="51 Grupo">
          <a:extLst>
            <a:ext uri="{FF2B5EF4-FFF2-40B4-BE49-F238E27FC236}">
              <a16:creationId xmlns:a16="http://schemas.microsoft.com/office/drawing/2014/main" id="{00000000-0008-0000-0B00-0000BDCE0200}"/>
            </a:ext>
          </a:extLst>
        </xdr:cNvPr>
        <xdr:cNvGrpSpPr>
          <a:grpSpLocks/>
        </xdr:cNvGrpSpPr>
      </xdr:nvGrpSpPr>
      <xdr:grpSpPr bwMode="auto">
        <a:xfrm>
          <a:off x="9144000" y="2076450"/>
          <a:ext cx="1095375" cy="247650"/>
          <a:chOff x="1628775" y="2809875"/>
          <a:chExt cx="1991524" cy="352425"/>
        </a:xfrm>
      </xdr:grpSpPr>
      <xdr:pic macro="[0]!Menos_Click">
        <xdr:nvPicPr>
          <xdr:cNvPr id="184005" name="32 Imagen">
            <a:extLst>
              <a:ext uri="{FF2B5EF4-FFF2-40B4-BE49-F238E27FC236}">
                <a16:creationId xmlns:a16="http://schemas.microsoft.com/office/drawing/2014/main" id="{00000000-0008-0000-0B00-0000C5CE02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28775" y="2809875"/>
            <a:ext cx="1991524" cy="3524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Menos_Click" textlink="">
        <xdr:nvSpPr>
          <xdr:cNvPr id="55" name="54 CuadroTexto">
            <a:extLst>
              <a:ext uri="{FF2B5EF4-FFF2-40B4-BE49-F238E27FC236}">
                <a16:creationId xmlns:a16="http://schemas.microsoft.com/office/drawing/2014/main" id="{00000000-0008-0000-0B00-000037000000}"/>
              </a:ext>
            </a:extLst>
          </xdr:cNvPr>
          <xdr:cNvSpPr txBox="1"/>
        </xdr:nvSpPr>
        <xdr:spPr>
          <a:xfrm>
            <a:off x="1628775" y="2823430"/>
            <a:ext cx="1974206" cy="3388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VE" sz="900" b="1">
                <a:solidFill>
                  <a:schemeClr val="bg1"/>
                </a:solidFill>
                <a:latin typeface="Trebuchet MS" pitchFamily="34" charset="0"/>
              </a:rPr>
              <a:t>ELIMINAR FILAS</a:t>
            </a:r>
          </a:p>
        </xdr:txBody>
      </xdr:sp>
    </xdr:grpSp>
    <xdr:clientData/>
  </xdr:twoCellAnchor>
  <xdr:twoCellAnchor>
    <xdr:from>
      <xdr:col>9</xdr:col>
      <xdr:colOff>666750</xdr:colOff>
      <xdr:row>10</xdr:row>
      <xdr:rowOff>95250</xdr:rowOff>
    </xdr:from>
    <xdr:to>
      <xdr:col>10</xdr:col>
      <xdr:colOff>552450</xdr:colOff>
      <xdr:row>11</xdr:row>
      <xdr:rowOff>114300</xdr:rowOff>
    </xdr:to>
    <xdr:grpSp>
      <xdr:nvGrpSpPr>
        <xdr:cNvPr id="183998" name="51 Grupo">
          <a:extLst>
            <a:ext uri="{FF2B5EF4-FFF2-40B4-BE49-F238E27FC236}">
              <a16:creationId xmlns:a16="http://schemas.microsoft.com/office/drawing/2014/main" id="{00000000-0008-0000-0B00-0000BECE0200}"/>
            </a:ext>
          </a:extLst>
        </xdr:cNvPr>
        <xdr:cNvGrpSpPr>
          <a:grpSpLocks/>
        </xdr:cNvGrpSpPr>
      </xdr:nvGrpSpPr>
      <xdr:grpSpPr bwMode="auto">
        <a:xfrm>
          <a:off x="10287000" y="2076450"/>
          <a:ext cx="1095375" cy="247650"/>
          <a:chOff x="1628775" y="2809875"/>
          <a:chExt cx="1991524" cy="352425"/>
        </a:xfrm>
      </xdr:grpSpPr>
      <xdr:pic macro="[0]!GenerarTXT">
        <xdr:nvPicPr>
          <xdr:cNvPr id="184003" name="32 Imagen">
            <a:extLst>
              <a:ext uri="{FF2B5EF4-FFF2-40B4-BE49-F238E27FC236}">
                <a16:creationId xmlns:a16="http://schemas.microsoft.com/office/drawing/2014/main" id="{00000000-0008-0000-0B00-0000C3CE02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28775" y="2809875"/>
            <a:ext cx="1991524" cy="3524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GenerarTXT" textlink="">
        <xdr:nvSpPr>
          <xdr:cNvPr id="60" name="59 CuadroTexto">
            <a:extLst>
              <a:ext uri="{FF2B5EF4-FFF2-40B4-BE49-F238E27FC236}">
                <a16:creationId xmlns:a16="http://schemas.microsoft.com/office/drawing/2014/main" id="{00000000-0008-0000-0B00-00003C000000}"/>
              </a:ext>
            </a:extLst>
          </xdr:cNvPr>
          <xdr:cNvSpPr txBox="1"/>
        </xdr:nvSpPr>
        <xdr:spPr>
          <a:xfrm>
            <a:off x="1628775" y="2823430"/>
            <a:ext cx="1974206" cy="3388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VE" sz="900" b="1">
                <a:solidFill>
                  <a:schemeClr val="bg1"/>
                </a:solidFill>
                <a:latin typeface="Trebuchet MS" pitchFamily="34" charset="0"/>
              </a:rPr>
              <a:t>GENERAR TXT</a:t>
            </a:r>
          </a:p>
        </xdr:txBody>
      </xdr:sp>
    </xdr:grpSp>
    <xdr:clientData/>
  </xdr:twoCellAnchor>
  <xdr:twoCellAnchor>
    <xdr:from>
      <xdr:col>3</xdr:col>
      <xdr:colOff>0</xdr:colOff>
      <xdr:row>0</xdr:row>
      <xdr:rowOff>66675</xdr:rowOff>
    </xdr:from>
    <xdr:to>
      <xdr:col>3</xdr:col>
      <xdr:colOff>972000</xdr:colOff>
      <xdr:row>1</xdr:row>
      <xdr:rowOff>142875</xdr:rowOff>
    </xdr:to>
    <xdr:sp macro="" textlink="">
      <xdr:nvSpPr>
        <xdr:cNvPr id="43" name="42 CuadroTexto">
          <a:hlinkClick xmlns:r="http://schemas.openxmlformats.org/officeDocument/2006/relationships" r:id="rId8" tooltip="Ver página de inicio."/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SpPr txBox="1"/>
      </xdr:nvSpPr>
      <xdr:spPr bwMode="auto">
        <a:xfrm>
          <a:off x="2028825" y="66675"/>
          <a:ext cx="97200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VE" sz="1200" b="1" u="none">
              <a:ln>
                <a:noFill/>
              </a:ln>
              <a:solidFill>
                <a:schemeClr val="bg1">
                  <a:lumMod val="95000"/>
                </a:schemeClr>
              </a:solidFill>
              <a:effectLst>
                <a:glow rad="228600">
                  <a:schemeClr val="bg1">
                    <a:lumMod val="6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Menú Inicial</a:t>
          </a:r>
        </a:p>
      </xdr:txBody>
    </xdr:sp>
    <xdr:clientData/>
  </xdr:twoCellAnchor>
  <xdr:twoCellAnchor>
    <xdr:from>
      <xdr:col>3</xdr:col>
      <xdr:colOff>1017139</xdr:colOff>
      <xdr:row>0</xdr:row>
      <xdr:rowOff>103720</xdr:rowOff>
    </xdr:from>
    <xdr:to>
      <xdr:col>3</xdr:col>
      <xdr:colOff>1017139</xdr:colOff>
      <xdr:row>1</xdr:row>
      <xdr:rowOff>94195</xdr:rowOff>
    </xdr:to>
    <xdr:cxnSp macro="">
      <xdr:nvCxnSpPr>
        <xdr:cNvPr id="45" name="44 Conector recto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CxnSpPr/>
      </xdr:nvCxnSpPr>
      <xdr:spPr bwMode="auto">
        <a:xfrm flipV="1">
          <a:off x="3045964" y="103720"/>
          <a:ext cx="0" cy="1905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323850</xdr:colOff>
      <xdr:row>0</xdr:row>
      <xdr:rowOff>66675</xdr:rowOff>
    </xdr:from>
    <xdr:to>
      <xdr:col>5</xdr:col>
      <xdr:colOff>745800</xdr:colOff>
      <xdr:row>1</xdr:row>
      <xdr:rowOff>142875</xdr:rowOff>
    </xdr:to>
    <xdr:sp macro="" textlink="">
      <xdr:nvSpPr>
        <xdr:cNvPr id="41" name="40 CuadroTexto">
          <a:hlinkClick xmlns:r="http://schemas.openxmlformats.org/officeDocument/2006/relationships" r:id="rId9" tooltip="Ver solicitud de Beneficiarios"/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SpPr txBox="1"/>
      </xdr:nvSpPr>
      <xdr:spPr bwMode="auto">
        <a:xfrm>
          <a:off x="4343400" y="66675"/>
          <a:ext cx="158400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VE" sz="1200" b="1" u="none">
              <a:ln>
                <a:noFill/>
              </a:ln>
              <a:solidFill>
                <a:schemeClr val="bg1">
                  <a:lumMod val="95000"/>
                </a:schemeClr>
              </a:solidFill>
              <a:effectLst>
                <a:glow rad="228600">
                  <a:schemeClr val="bg1">
                    <a:lumMod val="6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Beneficiarios de Pago</a:t>
          </a:r>
        </a:p>
      </xdr:txBody>
    </xdr:sp>
    <xdr:clientData/>
  </xdr:twoCellAnchor>
  <xdr:twoCellAnchor>
    <xdr:from>
      <xdr:col>4</xdr:col>
      <xdr:colOff>293239</xdr:colOff>
      <xdr:row>0</xdr:row>
      <xdr:rowOff>113245</xdr:rowOff>
    </xdr:from>
    <xdr:to>
      <xdr:col>4</xdr:col>
      <xdr:colOff>293239</xdr:colOff>
      <xdr:row>1</xdr:row>
      <xdr:rowOff>103720</xdr:rowOff>
    </xdr:to>
    <xdr:cxnSp macro="">
      <xdr:nvCxnSpPr>
        <xdr:cNvPr id="42" name="41 Conector recto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CxnSpPr/>
      </xdr:nvCxnSpPr>
      <xdr:spPr bwMode="auto">
        <a:xfrm flipV="1">
          <a:off x="4312789" y="113245"/>
          <a:ext cx="0" cy="1905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2</xdr:row>
      <xdr:rowOff>0</xdr:rowOff>
    </xdr:from>
    <xdr:to>
      <xdr:col>1</xdr:col>
      <xdr:colOff>304800</xdr:colOff>
      <xdr:row>4</xdr:row>
      <xdr:rowOff>219075</xdr:rowOff>
    </xdr:to>
    <xdr:pic>
      <xdr:nvPicPr>
        <xdr:cNvPr id="184388" name="IMAGEN_BOD" descr="Logo BOD 11111111111111a color copia copiar.gif">
          <a:extLst>
            <a:ext uri="{FF2B5EF4-FFF2-40B4-BE49-F238E27FC236}">
              <a16:creationId xmlns:a16="http://schemas.microsoft.com/office/drawing/2014/main" id="{00000000-0008-0000-0C00-000044D0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9459"/>
        <a:stretch>
          <a:fillRect/>
        </a:stretch>
      </xdr:blipFill>
      <xdr:spPr bwMode="auto">
        <a:xfrm>
          <a:off x="19050" y="180975"/>
          <a:ext cx="1047750" cy="638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6</xdr:row>
      <xdr:rowOff>200025</xdr:rowOff>
    </xdr:from>
    <xdr:to>
      <xdr:col>22</xdr:col>
      <xdr:colOff>1285874</xdr:colOff>
      <xdr:row>10</xdr:row>
      <xdr:rowOff>9525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0" y="1476375"/>
          <a:ext cx="27365324" cy="600075"/>
        </a:xfrm>
        <a:prstGeom prst="roundRect">
          <a:avLst>
            <a:gd name="adj" fmla="val 7436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s-ES"/>
        </a:p>
      </xdr:txBody>
    </xdr:sp>
    <xdr:clientData/>
  </xdr:twoCellAnchor>
  <xdr:twoCellAnchor editAs="oneCell">
    <xdr:from>
      <xdr:col>0</xdr:col>
      <xdr:colOff>47625</xdr:colOff>
      <xdr:row>2</xdr:row>
      <xdr:rowOff>0</xdr:rowOff>
    </xdr:from>
    <xdr:to>
      <xdr:col>1</xdr:col>
      <xdr:colOff>85725</xdr:colOff>
      <xdr:row>5</xdr:row>
      <xdr:rowOff>57150</xdr:rowOff>
    </xdr:to>
    <xdr:pic>
      <xdr:nvPicPr>
        <xdr:cNvPr id="184390" name="IMAGEN_CORP" descr="logotipo Corp Banca, BU plantillas.jpg" hidden="1">
          <a:extLst>
            <a:ext uri="{FF2B5EF4-FFF2-40B4-BE49-F238E27FC236}">
              <a16:creationId xmlns:a16="http://schemas.microsoft.com/office/drawing/2014/main" id="{00000000-0008-0000-0C00-000046D0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80975"/>
          <a:ext cx="800100" cy="704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219075</xdr:colOff>
      <xdr:row>2</xdr:row>
      <xdr:rowOff>180975</xdr:rowOff>
    </xdr:from>
    <xdr:to>
      <xdr:col>4</xdr:col>
      <xdr:colOff>1095375</xdr:colOff>
      <xdr:row>4</xdr:row>
      <xdr:rowOff>76200</xdr:rowOff>
    </xdr:to>
    <xdr:grpSp>
      <xdr:nvGrpSpPr>
        <xdr:cNvPr id="184391" name="4 Grupo">
          <a:extLst>
            <a:ext uri="{FF2B5EF4-FFF2-40B4-BE49-F238E27FC236}">
              <a16:creationId xmlns:a16="http://schemas.microsoft.com/office/drawing/2014/main" id="{00000000-0008-0000-0C00-000047D00200}"/>
            </a:ext>
          </a:extLst>
        </xdr:cNvPr>
        <xdr:cNvGrpSpPr>
          <a:grpSpLocks/>
        </xdr:cNvGrpSpPr>
      </xdr:nvGrpSpPr>
      <xdr:grpSpPr bwMode="auto">
        <a:xfrm>
          <a:off x="4800600" y="361950"/>
          <a:ext cx="876300" cy="314325"/>
          <a:chOff x="9610724" y="276226"/>
          <a:chExt cx="876301" cy="371475"/>
        </a:xfrm>
      </xdr:grpSpPr>
      <xdr:sp macro="[0]!Pago_Click" textlink="">
        <xdr:nvSpPr>
          <xdr:cNvPr id="6" name="5 Rectángulo">
            <a:extLst>
              <a:ext uri="{FF2B5EF4-FFF2-40B4-BE49-F238E27FC236}">
                <a16:creationId xmlns:a16="http://schemas.microsoft.com/office/drawing/2014/main" id="{00000000-0008-0000-0C00-000006000000}"/>
              </a:ext>
            </a:extLst>
          </xdr:cNvPr>
          <xdr:cNvSpPr/>
        </xdr:nvSpPr>
        <xdr:spPr>
          <a:xfrm>
            <a:off x="9610724" y="287483"/>
            <a:ext cx="866776" cy="360218"/>
          </a:xfrm>
          <a:prstGeom prst="rect">
            <a:avLst/>
          </a:prstGeom>
          <a:solidFill>
            <a:schemeClr val="bg1"/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es-ES"/>
          </a:p>
        </xdr:txBody>
      </xdr:sp>
      <xdr:sp macro="[0]!Menu_Click" textlink="">
        <xdr:nvSpPr>
          <xdr:cNvPr id="7" name="6 Rectángulo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SpPr/>
        </xdr:nvSpPr>
        <xdr:spPr>
          <a:xfrm>
            <a:off x="9620249" y="276226"/>
            <a:ext cx="866776" cy="360218"/>
          </a:xfrm>
          <a:prstGeom prst="rect">
            <a:avLst/>
          </a:prstGeom>
          <a:blipFill dpi="0" rotWithShape="1">
            <a:blip xmlns:r="http://schemas.openxmlformats.org/officeDocument/2006/relationships" r:embed="rId3"/>
            <a:srcRect/>
            <a:stretch>
              <a:fillRect t="9000" r="45000" b="9000"/>
            </a:stretch>
          </a:blipFill>
          <a:ln w="12700"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r"/>
            <a:r>
              <a:rPr lang="es-VE" sz="900" b="1">
                <a:solidFill>
                  <a:sysClr val="windowText" lastClr="000000"/>
                </a:solidFill>
                <a:latin typeface="Trebuchet MS" pitchFamily="34" charset="0"/>
              </a:rPr>
              <a:t>MENÚ</a:t>
            </a:r>
          </a:p>
        </xdr:txBody>
      </xdr:sp>
    </xdr:grpSp>
    <xdr:clientData fPrintsWithSheet="0"/>
  </xdr:twoCellAnchor>
  <xdr:twoCellAnchor>
    <xdr:from>
      <xdr:col>2</xdr:col>
      <xdr:colOff>190500</xdr:colOff>
      <xdr:row>2</xdr:row>
      <xdr:rowOff>171450</xdr:rowOff>
    </xdr:from>
    <xdr:to>
      <xdr:col>3</xdr:col>
      <xdr:colOff>771525</xdr:colOff>
      <xdr:row>5</xdr:row>
      <xdr:rowOff>76200</xdr:rowOff>
    </xdr:to>
    <xdr:grpSp>
      <xdr:nvGrpSpPr>
        <xdr:cNvPr id="184392" name="9 Grupo">
          <a:extLst>
            <a:ext uri="{FF2B5EF4-FFF2-40B4-BE49-F238E27FC236}">
              <a16:creationId xmlns:a16="http://schemas.microsoft.com/office/drawing/2014/main" id="{00000000-0008-0000-0C00-000048D00200}"/>
            </a:ext>
          </a:extLst>
        </xdr:cNvPr>
        <xdr:cNvGrpSpPr>
          <a:grpSpLocks/>
        </xdr:cNvGrpSpPr>
      </xdr:nvGrpSpPr>
      <xdr:grpSpPr bwMode="auto">
        <a:xfrm>
          <a:off x="1876425" y="352425"/>
          <a:ext cx="2657475" cy="552450"/>
          <a:chOff x="7693876" y="99774"/>
          <a:chExt cx="3067982" cy="557950"/>
        </a:xfrm>
      </xdr:grpSpPr>
      <xdr:pic macro="[0]!ExtraeTxt.ExtraeTxt">
        <xdr:nvPicPr>
          <xdr:cNvPr id="184396" name="7 Imagen" descr="data_sort.png">
            <a:extLst>
              <a:ext uri="{FF2B5EF4-FFF2-40B4-BE49-F238E27FC236}">
                <a16:creationId xmlns:a16="http://schemas.microsoft.com/office/drawing/2014/main" id="{00000000-0008-0000-0C00-00004CD002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693876" y="99774"/>
            <a:ext cx="648782" cy="5579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ExtraeTxt.ExtraeTxt" textlink="">
        <xdr:nvSpPr>
          <xdr:cNvPr id="9" name="8 CuadroTexto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SpPr txBox="1"/>
        </xdr:nvSpPr>
        <xdr:spPr>
          <a:xfrm>
            <a:off x="8265686" y="224832"/>
            <a:ext cx="2496172" cy="2693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square" rtlCol="0" anchor="ctr">
            <a:noAutofit/>
          </a:bodyPr>
          <a:lstStyle/>
          <a:p>
            <a:pPr algn="l"/>
            <a:r>
              <a:rPr lang="es-VE" sz="1000" b="1">
                <a:solidFill>
                  <a:schemeClr val="tx1"/>
                </a:solidFill>
                <a:latin typeface="Trebuchet MS" pitchFamily="34" charset="0"/>
                <a:ea typeface="+mn-ea"/>
                <a:cs typeface="+mn-cs"/>
              </a:rPr>
              <a:t>Carga de archivo </a:t>
            </a:r>
            <a:r>
              <a:rPr lang="es-VE" sz="1000" b="1" u="sng">
                <a:solidFill>
                  <a:schemeClr val="tx1"/>
                </a:solidFill>
                <a:latin typeface="Trebuchet MS" pitchFamily="34" charset="0"/>
                <a:ea typeface="+mn-ea"/>
                <a:cs typeface="+mn-cs"/>
              </a:rPr>
              <a:t>O</a:t>
            </a:r>
            <a:r>
              <a:rPr lang="es-VE" sz="1000" b="1">
                <a:solidFill>
                  <a:schemeClr val="tx1"/>
                </a:solidFill>
                <a:latin typeface="Trebuchet MS" pitchFamily="34" charset="0"/>
                <a:ea typeface="+mn-ea"/>
                <a:cs typeface="+mn-cs"/>
              </a:rPr>
              <a:t>rden de pago</a:t>
            </a:r>
            <a:endParaRPr lang="es-VE" sz="1000" b="1">
              <a:latin typeface="Trebuchet MS" pitchFamily="34" charset="0"/>
            </a:endParaRPr>
          </a:p>
        </xdr:txBody>
      </xdr:sp>
    </xdr:grpSp>
    <xdr:clientData fPrintsWithSheet="0"/>
  </xdr:twoCellAnchor>
  <xdr:twoCellAnchor>
    <xdr:from>
      <xdr:col>22</xdr:col>
      <xdr:colOff>161925</xdr:colOff>
      <xdr:row>2</xdr:row>
      <xdr:rowOff>180975</xdr:rowOff>
    </xdr:from>
    <xdr:to>
      <xdr:col>22</xdr:col>
      <xdr:colOff>1038225</xdr:colOff>
      <xdr:row>4</xdr:row>
      <xdr:rowOff>76200</xdr:rowOff>
    </xdr:to>
    <xdr:grpSp>
      <xdr:nvGrpSpPr>
        <xdr:cNvPr id="184393" name="4 Grupo">
          <a:extLst>
            <a:ext uri="{FF2B5EF4-FFF2-40B4-BE49-F238E27FC236}">
              <a16:creationId xmlns:a16="http://schemas.microsoft.com/office/drawing/2014/main" id="{00000000-0008-0000-0C00-000049D00200}"/>
            </a:ext>
          </a:extLst>
        </xdr:cNvPr>
        <xdr:cNvGrpSpPr>
          <a:grpSpLocks/>
        </xdr:cNvGrpSpPr>
      </xdr:nvGrpSpPr>
      <xdr:grpSpPr bwMode="auto">
        <a:xfrm>
          <a:off x="24812625" y="361950"/>
          <a:ext cx="876300" cy="314325"/>
          <a:chOff x="9610724" y="276226"/>
          <a:chExt cx="876301" cy="371475"/>
        </a:xfrm>
      </xdr:grpSpPr>
      <xdr:sp macro="[0]!Pago_Click" textlink="">
        <xdr:nvSpPr>
          <xdr:cNvPr id="12" name="11 Rectángulo">
            <a:extLst>
              <a:ext uri="{FF2B5EF4-FFF2-40B4-BE49-F238E27FC236}">
                <a16:creationId xmlns:a16="http://schemas.microsoft.com/office/drawing/2014/main" id="{00000000-0008-0000-0C00-00000C000000}"/>
              </a:ext>
            </a:extLst>
          </xdr:cNvPr>
          <xdr:cNvSpPr/>
        </xdr:nvSpPr>
        <xdr:spPr>
          <a:xfrm>
            <a:off x="9610724" y="287483"/>
            <a:ext cx="866776" cy="360218"/>
          </a:xfrm>
          <a:prstGeom prst="rect">
            <a:avLst/>
          </a:prstGeom>
          <a:solidFill>
            <a:schemeClr val="bg1"/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es-ES"/>
          </a:p>
        </xdr:txBody>
      </xdr:sp>
      <xdr:sp macro="[0]!Menu_Click" textlink="">
        <xdr:nvSpPr>
          <xdr:cNvPr id="13" name="12 Rectángulo">
            <a:extLst>
              <a:ext uri="{FF2B5EF4-FFF2-40B4-BE49-F238E27FC236}">
                <a16:creationId xmlns:a16="http://schemas.microsoft.com/office/drawing/2014/main" id="{00000000-0008-0000-0C00-00000D000000}"/>
              </a:ext>
            </a:extLst>
          </xdr:cNvPr>
          <xdr:cNvSpPr/>
        </xdr:nvSpPr>
        <xdr:spPr>
          <a:xfrm>
            <a:off x="9620249" y="276226"/>
            <a:ext cx="866776" cy="360218"/>
          </a:xfrm>
          <a:prstGeom prst="rect">
            <a:avLst/>
          </a:prstGeom>
          <a:blipFill dpi="0" rotWithShape="1">
            <a:blip xmlns:r="http://schemas.openxmlformats.org/officeDocument/2006/relationships" r:embed="rId3"/>
            <a:srcRect/>
            <a:stretch>
              <a:fillRect t="9000" r="45000" b="9000"/>
            </a:stretch>
          </a:blipFill>
          <a:ln w="12700"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r"/>
            <a:r>
              <a:rPr lang="es-VE" sz="900" b="1">
                <a:solidFill>
                  <a:sysClr val="windowText" lastClr="000000"/>
                </a:solidFill>
                <a:latin typeface="Trebuchet MS" pitchFamily="34" charset="0"/>
              </a:rPr>
              <a:t>MENÚ</a:t>
            </a:r>
          </a:p>
        </xdr:txBody>
      </xdr:sp>
    </xdr:grp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2</xdr:row>
      <xdr:rowOff>0</xdr:rowOff>
    </xdr:from>
    <xdr:to>
      <xdr:col>1</xdr:col>
      <xdr:colOff>838200</xdr:colOff>
      <xdr:row>5</xdr:row>
      <xdr:rowOff>133350</xdr:rowOff>
    </xdr:to>
    <xdr:pic>
      <xdr:nvPicPr>
        <xdr:cNvPr id="182804" name="IMAGEN_CORP" descr="logotipo Corp Banca, BU plantillas.jpg" hidden="1">
          <a:extLst>
            <a:ext uri="{FF2B5EF4-FFF2-40B4-BE49-F238E27FC236}">
              <a16:creationId xmlns:a16="http://schemas.microsoft.com/office/drawing/2014/main" id="{00000000-0008-0000-0D00-000014CA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542925"/>
          <a:ext cx="800100" cy="704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171450</xdr:colOff>
      <xdr:row>51</xdr:row>
      <xdr:rowOff>76200</xdr:rowOff>
    </xdr:from>
    <xdr:to>
      <xdr:col>8</xdr:col>
      <xdr:colOff>581025</xdr:colOff>
      <xdr:row>53</xdr:row>
      <xdr:rowOff>28575</xdr:rowOff>
    </xdr:to>
    <xdr:grpSp>
      <xdr:nvGrpSpPr>
        <xdr:cNvPr id="182805" name="3 Grupo" hidden="1">
          <a:extLst>
            <a:ext uri="{FF2B5EF4-FFF2-40B4-BE49-F238E27FC236}">
              <a16:creationId xmlns:a16="http://schemas.microsoft.com/office/drawing/2014/main" id="{00000000-0008-0000-0D00-000015CA0200}"/>
            </a:ext>
          </a:extLst>
        </xdr:cNvPr>
        <xdr:cNvGrpSpPr>
          <a:grpSpLocks/>
        </xdr:cNvGrpSpPr>
      </xdr:nvGrpSpPr>
      <xdr:grpSpPr bwMode="auto">
        <a:xfrm>
          <a:off x="6305550" y="9886950"/>
          <a:ext cx="876300" cy="333375"/>
          <a:chOff x="9610724" y="285751"/>
          <a:chExt cx="876301" cy="361950"/>
        </a:xfrm>
      </xdr:grpSpPr>
      <xdr:sp macro="[0]!Pago_Click" textlink="">
        <xdr:nvSpPr>
          <xdr:cNvPr id="5" name="4 Rectángulo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SpPr/>
        </xdr:nvSpPr>
        <xdr:spPr>
          <a:xfrm>
            <a:off x="9610724" y="285751"/>
            <a:ext cx="866776" cy="361950"/>
          </a:xfrm>
          <a:prstGeom prst="rect">
            <a:avLst/>
          </a:prstGeom>
          <a:solidFill>
            <a:schemeClr val="bg1"/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es-ES"/>
          </a:p>
        </xdr:txBody>
      </xdr:sp>
      <xdr:sp macro="[0]!Menu_Click" textlink="">
        <xdr:nvSpPr>
          <xdr:cNvPr id="6" name="5 Rectángulo">
            <a:extLst>
              <a:ext uri="{FF2B5EF4-FFF2-40B4-BE49-F238E27FC236}">
                <a16:creationId xmlns:a16="http://schemas.microsoft.com/office/drawing/2014/main" id="{00000000-0008-0000-0D00-000006000000}"/>
              </a:ext>
            </a:extLst>
          </xdr:cNvPr>
          <xdr:cNvSpPr/>
        </xdr:nvSpPr>
        <xdr:spPr>
          <a:xfrm>
            <a:off x="9620249" y="285751"/>
            <a:ext cx="866776" cy="361950"/>
          </a:xfrm>
          <a:prstGeom prst="rect">
            <a:avLst/>
          </a:prstGeom>
          <a:blipFill dpi="0" rotWithShape="1">
            <a:blip xmlns:r="http://schemas.openxmlformats.org/officeDocument/2006/relationships" r:embed="rId2"/>
            <a:srcRect/>
            <a:stretch>
              <a:fillRect t="9000" r="45000" b="9000"/>
            </a:stretch>
          </a:blipFill>
          <a:ln w="12700"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r"/>
            <a:r>
              <a:rPr lang="es-VE" sz="900" b="1">
                <a:solidFill>
                  <a:sysClr val="windowText" lastClr="000000"/>
                </a:solidFill>
                <a:latin typeface="Trebuchet MS" pitchFamily="34" charset="0"/>
              </a:rPr>
              <a:t>MENÚ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51</xdr:row>
          <xdr:rowOff>76200</xdr:rowOff>
        </xdr:from>
        <xdr:to>
          <xdr:col>1</xdr:col>
          <xdr:colOff>1000125</xdr:colOff>
          <xdr:row>53</xdr:row>
          <xdr:rowOff>57150</xdr:rowOff>
        </xdr:to>
        <xdr:sp macro="" textlink="">
          <xdr:nvSpPr>
            <xdr:cNvPr id="10241" name="Mas_Benef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D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1057275</xdr:colOff>
          <xdr:row>51</xdr:row>
          <xdr:rowOff>76200</xdr:rowOff>
        </xdr:from>
        <xdr:to>
          <xdr:col>3</xdr:col>
          <xdr:colOff>123825</xdr:colOff>
          <xdr:row>53</xdr:row>
          <xdr:rowOff>57150</xdr:rowOff>
        </xdr:to>
        <xdr:sp macro="" textlink="">
          <xdr:nvSpPr>
            <xdr:cNvPr id="10242" name="Menos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D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38</xdr:row>
          <xdr:rowOff>47625</xdr:rowOff>
        </xdr:from>
        <xdr:to>
          <xdr:col>5</xdr:col>
          <xdr:colOff>0</xdr:colOff>
          <xdr:row>40</xdr:row>
          <xdr:rowOff>28575</xdr:rowOff>
        </xdr:to>
        <xdr:sp macro="" textlink="">
          <xdr:nvSpPr>
            <xdr:cNvPr id="10243" name="CommandButton1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D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51</xdr:row>
          <xdr:rowOff>66675</xdr:rowOff>
        </xdr:from>
        <xdr:to>
          <xdr:col>4</xdr:col>
          <xdr:colOff>371475</xdr:colOff>
          <xdr:row>53</xdr:row>
          <xdr:rowOff>47625</xdr:rowOff>
        </xdr:to>
        <xdr:sp macro="" textlink="">
          <xdr:nvSpPr>
            <xdr:cNvPr id="10244" name="CommandButton2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D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447675</xdr:colOff>
          <xdr:row>51</xdr:row>
          <xdr:rowOff>47625</xdr:rowOff>
        </xdr:from>
        <xdr:to>
          <xdr:col>7</xdr:col>
          <xdr:colOff>66675</xdr:colOff>
          <xdr:row>53</xdr:row>
          <xdr:rowOff>28575</xdr:rowOff>
        </xdr:to>
        <xdr:sp macro="" textlink="">
          <xdr:nvSpPr>
            <xdr:cNvPr id="10245" name="CommandButton3" descr="Atras" hidden="1">
              <a:hlinkClick xmlns:r="http://schemas.openxmlformats.org/officeDocument/2006/relationships" r:id="rId3"/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D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51</xdr:row>
          <xdr:rowOff>57150</xdr:rowOff>
        </xdr:from>
        <xdr:to>
          <xdr:col>4</xdr:col>
          <xdr:colOff>1562100</xdr:colOff>
          <xdr:row>53</xdr:row>
          <xdr:rowOff>38100</xdr:rowOff>
        </xdr:to>
        <xdr:sp macro="" textlink="">
          <xdr:nvSpPr>
            <xdr:cNvPr id="10272" name="CommandButton4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D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1590675</xdr:colOff>
          <xdr:row>51</xdr:row>
          <xdr:rowOff>47625</xdr:rowOff>
        </xdr:from>
        <xdr:to>
          <xdr:col>5</xdr:col>
          <xdr:colOff>447675</xdr:colOff>
          <xdr:row>53</xdr:row>
          <xdr:rowOff>28575</xdr:rowOff>
        </xdr:to>
        <xdr:sp macro="" textlink="">
          <xdr:nvSpPr>
            <xdr:cNvPr id="10724" name="CommandButton5" hidden="1">
              <a:extLst>
                <a:ext uri="{63B3BB69-23CF-44E3-9099-C40C66FF867C}">
                  <a14:compatExt spid="_x0000_s10724"/>
                </a:ext>
                <a:ext uri="{FF2B5EF4-FFF2-40B4-BE49-F238E27FC236}">
                  <a16:creationId xmlns:a16="http://schemas.microsoft.com/office/drawing/2014/main" id="{00000000-0008-0000-0D00-0000E4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38100</xdr:colOff>
      <xdr:row>1</xdr:row>
      <xdr:rowOff>76200</xdr:rowOff>
    </xdr:from>
    <xdr:to>
      <xdr:col>2</xdr:col>
      <xdr:colOff>114300</xdr:colOff>
      <xdr:row>5</xdr:row>
      <xdr:rowOff>57150</xdr:rowOff>
    </xdr:to>
    <xdr:pic>
      <xdr:nvPicPr>
        <xdr:cNvPr id="182806" name="1 Imagen">
          <a:extLst>
            <a:ext uri="{FF2B5EF4-FFF2-40B4-BE49-F238E27FC236}">
              <a16:creationId xmlns:a16="http://schemas.microsoft.com/office/drawing/2014/main" id="{00000000-0008-0000-0D00-000016CA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457200"/>
          <a:ext cx="1200150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10</xdr:row>
      <xdr:rowOff>10585</xdr:rowOff>
    </xdr:from>
    <xdr:to>
      <xdr:col>19</xdr:col>
      <xdr:colOff>10584</xdr:colOff>
      <xdr:row>12</xdr:row>
      <xdr:rowOff>10583</xdr:rowOff>
    </xdr:to>
    <xdr:sp macro="" textlink="">
      <xdr:nvSpPr>
        <xdr:cNvPr id="14" name="13 Redondear rectángulo de esquina del mismo lado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SpPr/>
      </xdr:nvSpPr>
      <xdr:spPr>
        <a:xfrm>
          <a:off x="0" y="1301752"/>
          <a:ext cx="18182167" cy="539748"/>
        </a:xfrm>
        <a:prstGeom prst="round2SameRect">
          <a:avLst>
            <a:gd name="adj1" fmla="val 4949"/>
            <a:gd name="adj2" fmla="val 0"/>
          </a:avLst>
        </a:prstGeom>
        <a:noFill/>
        <a:ln>
          <a:solidFill>
            <a:srgbClr val="50B84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438150</xdr:colOff>
      <xdr:row>0</xdr:row>
      <xdr:rowOff>361950</xdr:rowOff>
    </xdr:to>
    <xdr:grpSp>
      <xdr:nvGrpSpPr>
        <xdr:cNvPr id="182808" name="27 Grupo">
          <a:extLst>
            <a:ext uri="{FF2B5EF4-FFF2-40B4-BE49-F238E27FC236}">
              <a16:creationId xmlns:a16="http://schemas.microsoft.com/office/drawing/2014/main" id="{00000000-0008-0000-0D00-000018CA0200}"/>
            </a:ext>
          </a:extLst>
        </xdr:cNvPr>
        <xdr:cNvGrpSpPr>
          <a:grpSpLocks/>
        </xdr:cNvGrpSpPr>
      </xdr:nvGrpSpPr>
      <xdr:grpSpPr bwMode="auto">
        <a:xfrm>
          <a:off x="0" y="0"/>
          <a:ext cx="10248900" cy="361950"/>
          <a:chOff x="647701" y="2219327"/>
          <a:chExt cx="8642086" cy="419201"/>
        </a:xfrm>
      </xdr:grpSpPr>
      <xdr:pic macro="[0]!CerrarFormulario">
        <xdr:nvPicPr>
          <xdr:cNvPr id="16" name="15 Imagen">
            <a:extLst>
              <a:ext uri="{FF2B5EF4-FFF2-40B4-BE49-F238E27FC236}">
                <a16:creationId xmlns:a16="http://schemas.microsoft.com/office/drawing/2014/main" id="{00000000-0008-0000-0D00-000010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65378" t="48218" r="17143" b="46556"/>
          <a:stretch/>
        </xdr:blipFill>
        <xdr:spPr>
          <a:xfrm>
            <a:off x="8501575" y="2219328"/>
            <a:ext cx="788212" cy="411789"/>
          </a:xfrm>
          <a:prstGeom prst="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</xdr:pic>
      <xdr:pic macro="[0]!Form_Help">
        <xdr:nvPicPr>
          <xdr:cNvPr id="17" name="16 Imagen">
            <a:extLst>
              <a:ext uri="{FF2B5EF4-FFF2-40B4-BE49-F238E27FC236}">
                <a16:creationId xmlns:a16="http://schemas.microsoft.com/office/drawing/2014/main" id="{00000000-0008-0000-0D00-00001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235" t="48218" r="74622" b="46556"/>
          <a:stretch/>
        </xdr:blipFill>
        <xdr:spPr>
          <a:xfrm>
            <a:off x="647701" y="2219327"/>
            <a:ext cx="786970" cy="419201"/>
          </a:xfrm>
          <a:prstGeom prst="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</xdr:pic>
      <xdr:pic>
        <xdr:nvPicPr>
          <xdr:cNvPr id="18" name="17 Imagen">
            <a:extLst>
              <a:ext uri="{FF2B5EF4-FFF2-40B4-BE49-F238E27FC236}">
                <a16:creationId xmlns:a16="http://schemas.microsoft.com/office/drawing/2014/main" id="{00000000-0008-0000-0D00-00001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0253" t="33492" r="8067" b="61401"/>
          <a:stretch/>
        </xdr:blipFill>
        <xdr:spPr>
          <a:xfrm>
            <a:off x="1790700" y="2224089"/>
            <a:ext cx="6309798" cy="409575"/>
          </a:xfrm>
          <a:prstGeom prst="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</xdr:pic>
      <xdr:cxnSp macro="">
        <xdr:nvCxnSpPr>
          <xdr:cNvPr id="19" name="18 Conector recto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 flipV="1">
            <a:off x="5646791" y="2340675"/>
            <a:ext cx="0" cy="220632"/>
          </a:xfrm>
          <a:prstGeom prst="line">
            <a:avLst/>
          </a:prstGeom>
          <a:ln w="1270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 fPrintsWithSheet="0"/>
  </xdr:twoCellAnchor>
  <xdr:twoCellAnchor>
    <xdr:from>
      <xdr:col>8</xdr:col>
      <xdr:colOff>266700</xdr:colOff>
      <xdr:row>0</xdr:row>
      <xdr:rowOff>95250</xdr:rowOff>
    </xdr:from>
    <xdr:to>
      <xdr:col>8</xdr:col>
      <xdr:colOff>266700</xdr:colOff>
      <xdr:row>0</xdr:row>
      <xdr:rowOff>285750</xdr:rowOff>
    </xdr:to>
    <xdr:cxnSp macro="">
      <xdr:nvCxnSpPr>
        <xdr:cNvPr id="20" name="19 Conector recto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CxnSpPr/>
      </xdr:nvCxnSpPr>
      <xdr:spPr bwMode="auto">
        <a:xfrm flipV="1">
          <a:off x="6877050" y="95250"/>
          <a:ext cx="0" cy="1905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1517650</xdr:colOff>
      <xdr:row>0</xdr:row>
      <xdr:rowOff>66675</xdr:rowOff>
    </xdr:from>
    <xdr:to>
      <xdr:col>6</xdr:col>
      <xdr:colOff>339400</xdr:colOff>
      <xdr:row>0</xdr:row>
      <xdr:rowOff>342900</xdr:rowOff>
    </xdr:to>
    <xdr:sp macro="" textlink="">
      <xdr:nvSpPr>
        <xdr:cNvPr id="21" name="20 CuadroTexto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SpPr txBox="1"/>
      </xdr:nvSpPr>
      <xdr:spPr bwMode="auto">
        <a:xfrm>
          <a:off x="4346575" y="66675"/>
          <a:ext cx="158400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VE" sz="1200" b="1" u="sng">
              <a:ln>
                <a:noFill/>
              </a:ln>
              <a:solidFill>
                <a:schemeClr val="bg1"/>
              </a:solidFill>
              <a:effectLst>
                <a:glow rad="228600">
                  <a:schemeClr val="accent3">
                    <a:satMod val="175000"/>
                    <a:alpha val="40000"/>
                  </a:schemeClr>
                </a:glow>
              </a:effectLst>
            </a:rPr>
            <a:t>Beneficiarios de Pago</a:t>
          </a:r>
        </a:p>
      </xdr:txBody>
    </xdr:sp>
    <xdr:clientData/>
  </xdr:twoCellAnchor>
  <xdr:twoCellAnchor>
    <xdr:from>
      <xdr:col>8</xdr:col>
      <xdr:colOff>266700</xdr:colOff>
      <xdr:row>0</xdr:row>
      <xdr:rowOff>57150</xdr:rowOff>
    </xdr:from>
    <xdr:to>
      <xdr:col>9</xdr:col>
      <xdr:colOff>663574</xdr:colOff>
      <xdr:row>0</xdr:row>
      <xdr:rowOff>333375</xdr:rowOff>
    </xdr:to>
    <xdr:sp macro="" textlink="">
      <xdr:nvSpPr>
        <xdr:cNvPr id="22" name="21 CuadroTexto">
          <a:hlinkClick xmlns:r="http://schemas.openxmlformats.org/officeDocument/2006/relationships" r:id="rId7" tooltip="Ver formato de Archivo"/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SpPr txBox="1"/>
      </xdr:nvSpPr>
      <xdr:spPr bwMode="auto">
        <a:xfrm>
          <a:off x="6877050" y="57150"/>
          <a:ext cx="1520824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VE" sz="1200" b="1" u="none">
              <a:ln>
                <a:noFill/>
              </a:ln>
              <a:solidFill>
                <a:schemeClr val="bg1">
                  <a:lumMod val="95000"/>
                </a:schemeClr>
              </a:solidFill>
              <a:effectLst>
                <a:glow rad="228600">
                  <a:schemeClr val="bg1">
                    <a:lumMod val="6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Formato de Archivo</a:t>
          </a:r>
        </a:p>
      </xdr:txBody>
    </xdr:sp>
    <xdr:clientData/>
  </xdr:twoCellAnchor>
  <xdr:twoCellAnchor>
    <xdr:from>
      <xdr:col>6</xdr:col>
      <xdr:colOff>336550</xdr:colOff>
      <xdr:row>0</xdr:row>
      <xdr:rowOff>57150</xdr:rowOff>
    </xdr:from>
    <xdr:to>
      <xdr:col>8</xdr:col>
      <xdr:colOff>285750</xdr:colOff>
      <xdr:row>0</xdr:row>
      <xdr:rowOff>333375</xdr:rowOff>
    </xdr:to>
    <xdr:sp macro="" textlink="">
      <xdr:nvSpPr>
        <xdr:cNvPr id="23" name="22 CuadroTexto">
          <a:hlinkClick xmlns:r="http://schemas.openxmlformats.org/officeDocument/2006/relationships" r:id="rId8" tooltip="Ver listado de códigos de Bancos"/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SpPr txBox="1"/>
      </xdr:nvSpPr>
      <xdr:spPr bwMode="auto">
        <a:xfrm>
          <a:off x="5927725" y="57150"/>
          <a:ext cx="9683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VE" sz="1200" b="1" u="none">
              <a:ln>
                <a:noFill/>
              </a:ln>
              <a:solidFill>
                <a:schemeClr val="bg1">
                  <a:lumMod val="95000"/>
                </a:schemeClr>
              </a:solidFill>
              <a:effectLst>
                <a:glow rad="228600">
                  <a:schemeClr val="bg1">
                    <a:lumMod val="65000"/>
                    <a:alpha val="40000"/>
                  </a:schemeClr>
                </a:glow>
              </a:effectLst>
            </a:rPr>
            <a:t>Cod.</a:t>
          </a:r>
          <a:r>
            <a:rPr lang="es-VE" sz="1200" b="1" u="none" baseline="0">
              <a:ln>
                <a:noFill/>
              </a:ln>
              <a:solidFill>
                <a:schemeClr val="bg1">
                  <a:lumMod val="95000"/>
                </a:schemeClr>
              </a:solidFill>
              <a:effectLst>
                <a:glow rad="228600">
                  <a:schemeClr val="bg1">
                    <a:lumMod val="65000"/>
                    <a:alpha val="40000"/>
                  </a:schemeClr>
                </a:glow>
              </a:effectLst>
            </a:rPr>
            <a:t> Bancos</a:t>
          </a:r>
          <a:endParaRPr lang="es-VE" sz="1200" b="1" u="none">
            <a:ln>
              <a:noFill/>
            </a:ln>
            <a:solidFill>
              <a:schemeClr val="bg1">
                <a:lumMod val="95000"/>
              </a:schemeClr>
            </a:solidFill>
            <a:effectLst>
              <a:glow rad="228600">
                <a:schemeClr val="bg1">
                  <a:lumMod val="6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3</xdr:col>
      <xdr:colOff>190498</xdr:colOff>
      <xdr:row>0</xdr:row>
      <xdr:rowOff>71968</xdr:rowOff>
    </xdr:from>
    <xdr:to>
      <xdr:col>4</xdr:col>
      <xdr:colOff>188848</xdr:colOff>
      <xdr:row>0</xdr:row>
      <xdr:rowOff>348193</xdr:rowOff>
    </xdr:to>
    <xdr:sp macro="" textlink="">
      <xdr:nvSpPr>
        <xdr:cNvPr id="24" name="23 CuadroTexto">
          <a:hlinkClick xmlns:r="http://schemas.openxmlformats.org/officeDocument/2006/relationships" r:id="rId3" tooltip="Ver página de inicio."/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SpPr txBox="1"/>
      </xdr:nvSpPr>
      <xdr:spPr bwMode="auto">
        <a:xfrm>
          <a:off x="2009773" y="71968"/>
          <a:ext cx="100800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VE" sz="1200" b="1" u="none">
              <a:ln>
                <a:noFill/>
              </a:ln>
              <a:solidFill>
                <a:schemeClr val="bg1">
                  <a:lumMod val="95000"/>
                </a:schemeClr>
              </a:solidFill>
              <a:effectLst>
                <a:glow rad="228600">
                  <a:schemeClr val="bg1">
                    <a:lumMod val="6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Menú Inicial</a:t>
          </a:r>
        </a:p>
      </xdr:txBody>
    </xdr:sp>
    <xdr:clientData/>
  </xdr:twoCellAnchor>
  <xdr:twoCellAnchor>
    <xdr:from>
      <xdr:col>4</xdr:col>
      <xdr:colOff>223389</xdr:colOff>
      <xdr:row>0</xdr:row>
      <xdr:rowOff>109013</xdr:rowOff>
    </xdr:from>
    <xdr:to>
      <xdr:col>4</xdr:col>
      <xdr:colOff>223389</xdr:colOff>
      <xdr:row>0</xdr:row>
      <xdr:rowOff>299513</xdr:rowOff>
    </xdr:to>
    <xdr:cxnSp macro="">
      <xdr:nvCxnSpPr>
        <xdr:cNvPr id="25" name="24 Conector recto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CxnSpPr/>
      </xdr:nvCxnSpPr>
      <xdr:spPr bwMode="auto">
        <a:xfrm flipV="1">
          <a:off x="3052314" y="109013"/>
          <a:ext cx="0" cy="1905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228600</xdr:colOff>
      <xdr:row>6</xdr:row>
      <xdr:rowOff>66675</xdr:rowOff>
    </xdr:from>
    <xdr:to>
      <xdr:col>8</xdr:col>
      <xdr:colOff>866775</xdr:colOff>
      <xdr:row>8</xdr:row>
      <xdr:rowOff>95250</xdr:rowOff>
    </xdr:to>
    <xdr:grpSp>
      <xdr:nvGrpSpPr>
        <xdr:cNvPr id="182815" name="51 Grupo">
          <a:extLst>
            <a:ext uri="{FF2B5EF4-FFF2-40B4-BE49-F238E27FC236}">
              <a16:creationId xmlns:a16="http://schemas.microsoft.com/office/drawing/2014/main" id="{00000000-0008-0000-0D00-00001FCA0200}"/>
            </a:ext>
          </a:extLst>
        </xdr:cNvPr>
        <xdr:cNvGrpSpPr>
          <a:grpSpLocks/>
        </xdr:cNvGrpSpPr>
      </xdr:nvGrpSpPr>
      <xdr:grpSpPr bwMode="auto">
        <a:xfrm>
          <a:off x="6362700" y="1390650"/>
          <a:ext cx="1104900" cy="238125"/>
          <a:chOff x="1628775" y="2809875"/>
          <a:chExt cx="1991524" cy="352425"/>
        </a:xfrm>
      </xdr:grpSpPr>
      <xdr:pic macro="[0]!Hoja3.Mas_Benef_Click">
        <xdr:nvPicPr>
          <xdr:cNvPr id="182825" name="32 Imagen">
            <a:extLst>
              <a:ext uri="{FF2B5EF4-FFF2-40B4-BE49-F238E27FC236}">
                <a16:creationId xmlns:a16="http://schemas.microsoft.com/office/drawing/2014/main" id="{00000000-0008-0000-0D00-000029CA02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28775" y="2809875"/>
            <a:ext cx="1991524" cy="3524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Hoja3.Mas_Benef_Click" textlink="">
        <xdr:nvSpPr>
          <xdr:cNvPr id="28" name="27 CuadroTexto">
            <a:extLst>
              <a:ext uri="{FF2B5EF4-FFF2-40B4-BE49-F238E27FC236}">
                <a16:creationId xmlns:a16="http://schemas.microsoft.com/office/drawing/2014/main" id="{00000000-0008-0000-0D00-00001C000000}"/>
              </a:ext>
            </a:extLst>
          </xdr:cNvPr>
          <xdr:cNvSpPr txBox="1"/>
        </xdr:nvSpPr>
        <xdr:spPr>
          <a:xfrm>
            <a:off x="1628775" y="2823972"/>
            <a:ext cx="1974356" cy="3383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VE" sz="900" b="1">
                <a:solidFill>
                  <a:schemeClr val="bg1"/>
                </a:solidFill>
                <a:latin typeface="Trebuchet MS" pitchFamily="34" charset="0"/>
              </a:rPr>
              <a:t>AGREGAR FILAS</a:t>
            </a:r>
          </a:p>
        </xdr:txBody>
      </xdr:sp>
    </xdr:grpSp>
    <xdr:clientData/>
  </xdr:twoCellAnchor>
  <xdr:twoCellAnchor>
    <xdr:from>
      <xdr:col>8</xdr:col>
      <xdr:colOff>914400</xdr:colOff>
      <xdr:row>6</xdr:row>
      <xdr:rowOff>66675</xdr:rowOff>
    </xdr:from>
    <xdr:to>
      <xdr:col>10</xdr:col>
      <xdr:colOff>66675</xdr:colOff>
      <xdr:row>8</xdr:row>
      <xdr:rowOff>95250</xdr:rowOff>
    </xdr:to>
    <xdr:grpSp>
      <xdr:nvGrpSpPr>
        <xdr:cNvPr id="182816" name="51 Grupo">
          <a:extLst>
            <a:ext uri="{FF2B5EF4-FFF2-40B4-BE49-F238E27FC236}">
              <a16:creationId xmlns:a16="http://schemas.microsoft.com/office/drawing/2014/main" id="{00000000-0008-0000-0D00-000020CA0200}"/>
            </a:ext>
          </a:extLst>
        </xdr:cNvPr>
        <xdr:cNvGrpSpPr>
          <a:grpSpLocks/>
        </xdr:cNvGrpSpPr>
      </xdr:nvGrpSpPr>
      <xdr:grpSpPr bwMode="auto">
        <a:xfrm>
          <a:off x="7515225" y="1390650"/>
          <a:ext cx="1085850" cy="238125"/>
          <a:chOff x="1628775" y="2809875"/>
          <a:chExt cx="1991524" cy="352425"/>
        </a:xfrm>
      </xdr:grpSpPr>
      <xdr:pic macro="[0]!Hoja3.Menos_Click">
        <xdr:nvPicPr>
          <xdr:cNvPr id="182823" name="32 Imagen">
            <a:extLst>
              <a:ext uri="{FF2B5EF4-FFF2-40B4-BE49-F238E27FC236}">
                <a16:creationId xmlns:a16="http://schemas.microsoft.com/office/drawing/2014/main" id="{00000000-0008-0000-0D00-000027CA02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28775" y="2809875"/>
            <a:ext cx="1991524" cy="3524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Hoja3.Menos_Click" textlink="">
        <xdr:nvSpPr>
          <xdr:cNvPr id="31" name="30 CuadroTexto">
            <a:extLst>
              <a:ext uri="{FF2B5EF4-FFF2-40B4-BE49-F238E27FC236}">
                <a16:creationId xmlns:a16="http://schemas.microsoft.com/office/drawing/2014/main" id="{00000000-0008-0000-0D00-00001F000000}"/>
              </a:ext>
            </a:extLst>
          </xdr:cNvPr>
          <xdr:cNvSpPr txBox="1"/>
        </xdr:nvSpPr>
        <xdr:spPr>
          <a:xfrm>
            <a:off x="1628775" y="2823972"/>
            <a:ext cx="1974054" cy="3383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VE" sz="900" b="1">
                <a:solidFill>
                  <a:schemeClr val="bg1"/>
                </a:solidFill>
                <a:latin typeface="Trebuchet MS" pitchFamily="34" charset="0"/>
              </a:rPr>
              <a:t>ELIMINAR FILAS</a:t>
            </a:r>
          </a:p>
        </xdr:txBody>
      </xdr:sp>
    </xdr:grpSp>
    <xdr:clientData/>
  </xdr:twoCellAnchor>
  <xdr:twoCellAnchor>
    <xdr:from>
      <xdr:col>10</xdr:col>
      <xdr:colOff>114300</xdr:colOff>
      <xdr:row>6</xdr:row>
      <xdr:rowOff>66675</xdr:rowOff>
    </xdr:from>
    <xdr:to>
      <xdr:col>10</xdr:col>
      <xdr:colOff>1209675</xdr:colOff>
      <xdr:row>8</xdr:row>
      <xdr:rowOff>95250</xdr:rowOff>
    </xdr:to>
    <xdr:grpSp>
      <xdr:nvGrpSpPr>
        <xdr:cNvPr id="182817" name="51 Grupo">
          <a:extLst>
            <a:ext uri="{FF2B5EF4-FFF2-40B4-BE49-F238E27FC236}">
              <a16:creationId xmlns:a16="http://schemas.microsoft.com/office/drawing/2014/main" id="{00000000-0008-0000-0D00-000021CA0200}"/>
            </a:ext>
          </a:extLst>
        </xdr:cNvPr>
        <xdr:cNvGrpSpPr>
          <a:grpSpLocks/>
        </xdr:cNvGrpSpPr>
      </xdr:nvGrpSpPr>
      <xdr:grpSpPr bwMode="auto">
        <a:xfrm>
          <a:off x="8648700" y="1390650"/>
          <a:ext cx="1095375" cy="238125"/>
          <a:chOff x="1628775" y="2809875"/>
          <a:chExt cx="1991524" cy="352425"/>
        </a:xfrm>
      </xdr:grpSpPr>
      <xdr:pic macro="[0]!Hoja3.Generartxtbeneficiario_Click">
        <xdr:nvPicPr>
          <xdr:cNvPr id="182821" name="32 Imagen">
            <a:extLst>
              <a:ext uri="{FF2B5EF4-FFF2-40B4-BE49-F238E27FC236}">
                <a16:creationId xmlns:a16="http://schemas.microsoft.com/office/drawing/2014/main" id="{00000000-0008-0000-0D00-000025CA02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28775" y="2809875"/>
            <a:ext cx="1991524" cy="3524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Hoja3.Generartxtbeneficiario_Click" textlink="">
        <xdr:nvSpPr>
          <xdr:cNvPr id="34" name="33 CuadroTexto">
            <a:extLst>
              <a:ext uri="{FF2B5EF4-FFF2-40B4-BE49-F238E27FC236}">
                <a16:creationId xmlns:a16="http://schemas.microsoft.com/office/drawing/2014/main" id="{00000000-0008-0000-0D00-000022000000}"/>
              </a:ext>
            </a:extLst>
          </xdr:cNvPr>
          <xdr:cNvSpPr txBox="1"/>
        </xdr:nvSpPr>
        <xdr:spPr>
          <a:xfrm>
            <a:off x="1628775" y="2823972"/>
            <a:ext cx="1974206" cy="3383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VE" sz="900" b="1">
                <a:solidFill>
                  <a:schemeClr val="bg1"/>
                </a:solidFill>
                <a:latin typeface="Trebuchet MS" pitchFamily="34" charset="0"/>
              </a:rPr>
              <a:t>GENERAR TXT</a:t>
            </a:r>
          </a:p>
        </xdr:txBody>
      </xdr:sp>
    </xdr:grpSp>
    <xdr:clientData/>
  </xdr:twoCellAnchor>
  <xdr:twoCellAnchor>
    <xdr:from>
      <xdr:col>4</xdr:col>
      <xdr:colOff>228600</xdr:colOff>
      <xdr:row>0</xdr:row>
      <xdr:rowOff>66675</xdr:rowOff>
    </xdr:from>
    <xdr:to>
      <xdr:col>4</xdr:col>
      <xdr:colOff>1488600</xdr:colOff>
      <xdr:row>0</xdr:row>
      <xdr:rowOff>342900</xdr:rowOff>
    </xdr:to>
    <xdr:sp macro="" textlink="">
      <xdr:nvSpPr>
        <xdr:cNvPr id="35" name="34 CuadroTexto">
          <a:hlinkClick xmlns:r="http://schemas.openxmlformats.org/officeDocument/2006/relationships" r:id="rId12" tooltip="Ver solicitud de Ordenes de Pago..."/>
          <a:extLst>
            <a:ext uri="{FF2B5EF4-FFF2-40B4-BE49-F238E27FC236}">
              <a16:creationId xmlns:a16="http://schemas.microsoft.com/office/drawing/2014/main" id="{00000000-0008-0000-0D00-000023000000}"/>
            </a:ext>
          </a:extLst>
        </xdr:cNvPr>
        <xdr:cNvSpPr txBox="1"/>
      </xdr:nvSpPr>
      <xdr:spPr bwMode="auto">
        <a:xfrm>
          <a:off x="3057525" y="66675"/>
          <a:ext cx="126000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VE" sz="1200" b="1" u="none">
              <a:ln>
                <a:noFill/>
              </a:ln>
              <a:solidFill>
                <a:schemeClr val="bg1">
                  <a:lumMod val="95000"/>
                </a:schemeClr>
              </a:solidFill>
              <a:effectLst>
                <a:glow rad="228600">
                  <a:schemeClr val="bg1">
                    <a:lumMod val="6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Ordenes de Pago</a:t>
          </a:r>
        </a:p>
      </xdr:txBody>
    </xdr:sp>
    <xdr:clientData/>
  </xdr:twoCellAnchor>
  <xdr:twoCellAnchor>
    <xdr:from>
      <xdr:col>1</xdr:col>
      <xdr:colOff>885825</xdr:colOff>
      <xdr:row>0</xdr:row>
      <xdr:rowOff>247650</xdr:rowOff>
    </xdr:from>
    <xdr:to>
      <xdr:col>1</xdr:col>
      <xdr:colOff>885825</xdr:colOff>
      <xdr:row>1</xdr:row>
      <xdr:rowOff>57150</xdr:rowOff>
    </xdr:to>
    <xdr:cxnSp macro="">
      <xdr:nvCxnSpPr>
        <xdr:cNvPr id="36" name="35 Conector recto"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CxnSpPr/>
      </xdr:nvCxnSpPr>
      <xdr:spPr bwMode="auto">
        <a:xfrm flipV="1">
          <a:off x="885825" y="247650"/>
          <a:ext cx="0" cy="1905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1490214</xdr:colOff>
      <xdr:row>0</xdr:row>
      <xdr:rowOff>118538</xdr:rowOff>
    </xdr:from>
    <xdr:to>
      <xdr:col>4</xdr:col>
      <xdr:colOff>1490214</xdr:colOff>
      <xdr:row>0</xdr:row>
      <xdr:rowOff>309038</xdr:rowOff>
    </xdr:to>
    <xdr:cxnSp macro="">
      <xdr:nvCxnSpPr>
        <xdr:cNvPr id="37" name="36 Conector recto">
          <a:extLst>
            <a:ext uri="{FF2B5EF4-FFF2-40B4-BE49-F238E27FC236}">
              <a16:creationId xmlns:a16="http://schemas.microsoft.com/office/drawing/2014/main" id="{00000000-0008-0000-0D00-000025000000}"/>
            </a:ext>
          </a:extLst>
        </xdr:cNvPr>
        <xdr:cNvCxnSpPr/>
      </xdr:nvCxnSpPr>
      <xdr:spPr bwMode="auto">
        <a:xfrm flipV="1">
          <a:off x="4319139" y="118538"/>
          <a:ext cx="0" cy="1905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2</xdr:row>
      <xdr:rowOff>0</xdr:rowOff>
    </xdr:from>
    <xdr:to>
      <xdr:col>1</xdr:col>
      <xdr:colOff>180975</xdr:colOff>
      <xdr:row>4</xdr:row>
      <xdr:rowOff>219075</xdr:rowOff>
    </xdr:to>
    <xdr:pic>
      <xdr:nvPicPr>
        <xdr:cNvPr id="175763" name="IMAGEN_BOD" descr="Logo BOD 11111111111111a color copia copiar.gif">
          <a:extLst>
            <a:ext uri="{FF2B5EF4-FFF2-40B4-BE49-F238E27FC236}">
              <a16:creationId xmlns:a16="http://schemas.microsoft.com/office/drawing/2014/main" id="{00000000-0008-0000-0E00-000093AE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9459"/>
        <a:stretch>
          <a:fillRect/>
        </a:stretch>
      </xdr:blipFill>
      <xdr:spPr bwMode="auto">
        <a:xfrm>
          <a:off x="28575" y="209550"/>
          <a:ext cx="1038225" cy="638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38100</xdr:colOff>
      <xdr:row>2</xdr:row>
      <xdr:rowOff>0</xdr:rowOff>
    </xdr:from>
    <xdr:to>
      <xdr:col>0</xdr:col>
      <xdr:colOff>838200</xdr:colOff>
      <xdr:row>5</xdr:row>
      <xdr:rowOff>57150</xdr:rowOff>
    </xdr:to>
    <xdr:pic>
      <xdr:nvPicPr>
        <xdr:cNvPr id="175764" name="IMAGEN_CORP" descr="logotipo Corp Banca, BU plantillas.jpg" hidden="1">
          <a:extLst>
            <a:ext uri="{FF2B5EF4-FFF2-40B4-BE49-F238E27FC236}">
              <a16:creationId xmlns:a16="http://schemas.microsoft.com/office/drawing/2014/main" id="{00000000-0008-0000-0E00-000094AE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09550"/>
          <a:ext cx="800100" cy="704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190500</xdr:colOff>
      <xdr:row>2</xdr:row>
      <xdr:rowOff>123825</xdr:rowOff>
    </xdr:from>
    <xdr:to>
      <xdr:col>4</xdr:col>
      <xdr:colOff>1066800</xdr:colOff>
      <xdr:row>4</xdr:row>
      <xdr:rowOff>47625</xdr:rowOff>
    </xdr:to>
    <xdr:grpSp>
      <xdr:nvGrpSpPr>
        <xdr:cNvPr id="175765" name="6 Grupo">
          <a:extLst>
            <a:ext uri="{FF2B5EF4-FFF2-40B4-BE49-F238E27FC236}">
              <a16:creationId xmlns:a16="http://schemas.microsoft.com/office/drawing/2014/main" id="{00000000-0008-0000-0E00-000095AE0200}"/>
            </a:ext>
          </a:extLst>
        </xdr:cNvPr>
        <xdr:cNvGrpSpPr>
          <a:grpSpLocks/>
        </xdr:cNvGrpSpPr>
      </xdr:nvGrpSpPr>
      <xdr:grpSpPr bwMode="auto">
        <a:xfrm>
          <a:off x="3867150" y="333375"/>
          <a:ext cx="876300" cy="342900"/>
          <a:chOff x="9610724" y="285751"/>
          <a:chExt cx="876301" cy="361950"/>
        </a:xfrm>
      </xdr:grpSpPr>
      <xdr:sp macro="[0]!Pago_Click" textlink="">
        <xdr:nvSpPr>
          <xdr:cNvPr id="8" name="7 Rectángulo">
            <a:extLst>
              <a:ext uri="{FF2B5EF4-FFF2-40B4-BE49-F238E27FC236}">
                <a16:creationId xmlns:a16="http://schemas.microsoft.com/office/drawing/2014/main" id="{00000000-0008-0000-0E00-000008000000}"/>
              </a:ext>
            </a:extLst>
          </xdr:cNvPr>
          <xdr:cNvSpPr/>
        </xdr:nvSpPr>
        <xdr:spPr>
          <a:xfrm>
            <a:off x="9610724" y="285751"/>
            <a:ext cx="866776" cy="361950"/>
          </a:xfrm>
          <a:prstGeom prst="rect">
            <a:avLst/>
          </a:prstGeom>
          <a:solidFill>
            <a:schemeClr val="bg1"/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es-ES"/>
          </a:p>
        </xdr:txBody>
      </xdr:sp>
      <xdr:sp macro="[0]!Menu_Click" textlink="">
        <xdr:nvSpPr>
          <xdr:cNvPr id="9" name="8 Rectángulo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SpPr/>
        </xdr:nvSpPr>
        <xdr:spPr>
          <a:xfrm>
            <a:off x="9620249" y="285751"/>
            <a:ext cx="866776" cy="361950"/>
          </a:xfrm>
          <a:prstGeom prst="rect">
            <a:avLst/>
          </a:prstGeom>
          <a:blipFill dpi="0" rotWithShape="1">
            <a:blip xmlns:r="http://schemas.openxmlformats.org/officeDocument/2006/relationships" r:embed="rId3"/>
            <a:srcRect/>
            <a:stretch>
              <a:fillRect t="9000" r="45000" b="9000"/>
            </a:stretch>
          </a:blipFill>
          <a:ln w="12700"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r"/>
            <a:r>
              <a:rPr lang="es-VE" sz="900" b="1">
                <a:solidFill>
                  <a:sysClr val="windowText" lastClr="000000"/>
                </a:solidFill>
                <a:latin typeface="Trebuchet MS" pitchFamily="34" charset="0"/>
              </a:rPr>
              <a:t>MENÚ</a:t>
            </a:r>
          </a:p>
        </xdr:txBody>
      </xdr:sp>
    </xdr:grpSp>
    <xdr:clientData fPrintsWithSheet="0"/>
  </xdr:twoCellAnchor>
  <xdr:twoCellAnchor>
    <xdr:from>
      <xdr:col>1</xdr:col>
      <xdr:colOff>400050</xdr:colOff>
      <xdr:row>2</xdr:row>
      <xdr:rowOff>85725</xdr:rowOff>
    </xdr:from>
    <xdr:to>
      <xdr:col>4</xdr:col>
      <xdr:colOff>57150</xdr:colOff>
      <xdr:row>4</xdr:row>
      <xdr:rowOff>228600</xdr:rowOff>
    </xdr:to>
    <xdr:grpSp>
      <xdr:nvGrpSpPr>
        <xdr:cNvPr id="175766" name="6 Grupo">
          <a:extLst>
            <a:ext uri="{FF2B5EF4-FFF2-40B4-BE49-F238E27FC236}">
              <a16:creationId xmlns:a16="http://schemas.microsoft.com/office/drawing/2014/main" id="{00000000-0008-0000-0E00-000096AE0200}"/>
            </a:ext>
          </a:extLst>
        </xdr:cNvPr>
        <xdr:cNvGrpSpPr>
          <a:grpSpLocks/>
        </xdr:cNvGrpSpPr>
      </xdr:nvGrpSpPr>
      <xdr:grpSpPr bwMode="auto">
        <a:xfrm>
          <a:off x="1285875" y="295275"/>
          <a:ext cx="2447925" cy="561975"/>
          <a:chOff x="8506825" y="66579"/>
          <a:chExt cx="2652025" cy="558759"/>
        </a:xfrm>
      </xdr:grpSpPr>
      <xdr:pic macro="[0]!ExtraeTxt.ExtraeTxt">
        <xdr:nvPicPr>
          <xdr:cNvPr id="175770" name="9 Imagen" descr="data_sort.png">
            <a:extLst>
              <a:ext uri="{FF2B5EF4-FFF2-40B4-BE49-F238E27FC236}">
                <a16:creationId xmlns:a16="http://schemas.microsoft.com/office/drawing/2014/main" id="{00000000-0008-0000-0E00-00009AAE02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506825" y="66579"/>
            <a:ext cx="608426" cy="55875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ExtraeTxt.ExtraeTxt" textlink="">
        <xdr:nvSpPr>
          <xdr:cNvPr id="11" name="10 CuadroTexto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SpPr txBox="1"/>
        </xdr:nvSpPr>
        <xdr:spPr>
          <a:xfrm>
            <a:off x="8960868" y="189695"/>
            <a:ext cx="2197982" cy="2651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square" rtlCol="0" anchor="ctr">
            <a:noAutofit/>
          </a:bodyPr>
          <a:lstStyle/>
          <a:p>
            <a:pPr algn="l"/>
            <a:r>
              <a:rPr lang="es-VE" sz="1000" b="1">
                <a:solidFill>
                  <a:schemeClr val="tx1"/>
                </a:solidFill>
                <a:latin typeface="Trebuchet MS" pitchFamily="34" charset="0"/>
                <a:ea typeface="+mn-ea"/>
                <a:cs typeface="+mn-cs"/>
              </a:rPr>
              <a:t>Carga de archivo</a:t>
            </a:r>
            <a:r>
              <a:rPr lang="es-VE" sz="1000" b="1" baseline="0">
                <a:solidFill>
                  <a:schemeClr val="tx1"/>
                </a:solidFill>
                <a:latin typeface="Trebuchet MS" pitchFamily="34" charset="0"/>
                <a:ea typeface="+mn-ea"/>
                <a:cs typeface="+mn-cs"/>
              </a:rPr>
              <a:t> </a:t>
            </a:r>
            <a:r>
              <a:rPr lang="es-VE" sz="1000" b="1" u="sng">
                <a:latin typeface="Trebuchet MS" pitchFamily="34" charset="0"/>
              </a:rPr>
              <a:t>B</a:t>
            </a:r>
            <a:r>
              <a:rPr lang="es-VE" sz="1000" b="1">
                <a:latin typeface="Trebuchet MS" pitchFamily="34" charset="0"/>
              </a:rPr>
              <a:t>eneficiarios</a:t>
            </a:r>
          </a:p>
        </xdr:txBody>
      </xdr:sp>
    </xdr:grpSp>
    <xdr:clientData fPrintsWithSheet="0"/>
  </xdr:twoCellAnchor>
  <xdr:twoCellAnchor>
    <xdr:from>
      <xdr:col>20</xdr:col>
      <xdr:colOff>1771650</xdr:colOff>
      <xdr:row>2</xdr:row>
      <xdr:rowOff>123825</xdr:rowOff>
    </xdr:from>
    <xdr:to>
      <xdr:col>21</xdr:col>
      <xdr:colOff>742950</xdr:colOff>
      <xdr:row>4</xdr:row>
      <xdr:rowOff>47625</xdr:rowOff>
    </xdr:to>
    <xdr:grpSp>
      <xdr:nvGrpSpPr>
        <xdr:cNvPr id="175767" name="6 Grupo">
          <a:extLst>
            <a:ext uri="{FF2B5EF4-FFF2-40B4-BE49-F238E27FC236}">
              <a16:creationId xmlns:a16="http://schemas.microsoft.com/office/drawing/2014/main" id="{00000000-0008-0000-0E00-000097AE0200}"/>
            </a:ext>
          </a:extLst>
        </xdr:cNvPr>
        <xdr:cNvGrpSpPr>
          <a:grpSpLocks/>
        </xdr:cNvGrpSpPr>
      </xdr:nvGrpSpPr>
      <xdr:grpSpPr bwMode="auto">
        <a:xfrm>
          <a:off x="21088350" y="333375"/>
          <a:ext cx="876300" cy="342900"/>
          <a:chOff x="9610724" y="285751"/>
          <a:chExt cx="876301" cy="361950"/>
        </a:xfrm>
      </xdr:grpSpPr>
      <xdr:sp macro="[0]!Pago_Click" textlink="">
        <xdr:nvSpPr>
          <xdr:cNvPr id="13" name="12 Rectángulo">
            <a:extLst>
              <a:ext uri="{FF2B5EF4-FFF2-40B4-BE49-F238E27FC236}">
                <a16:creationId xmlns:a16="http://schemas.microsoft.com/office/drawing/2014/main" id="{00000000-0008-0000-0E00-00000D000000}"/>
              </a:ext>
            </a:extLst>
          </xdr:cNvPr>
          <xdr:cNvSpPr/>
        </xdr:nvSpPr>
        <xdr:spPr>
          <a:xfrm>
            <a:off x="9610724" y="285751"/>
            <a:ext cx="866776" cy="361950"/>
          </a:xfrm>
          <a:prstGeom prst="rect">
            <a:avLst/>
          </a:prstGeom>
          <a:solidFill>
            <a:schemeClr val="bg1"/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es-ES"/>
          </a:p>
        </xdr:txBody>
      </xdr:sp>
      <xdr:sp macro="[0]!Menu_Click" textlink="">
        <xdr:nvSpPr>
          <xdr:cNvPr id="14" name="13 Rectángulo">
            <a:extLst>
              <a:ext uri="{FF2B5EF4-FFF2-40B4-BE49-F238E27FC236}">
                <a16:creationId xmlns:a16="http://schemas.microsoft.com/office/drawing/2014/main" id="{00000000-0008-0000-0E00-00000E000000}"/>
              </a:ext>
            </a:extLst>
          </xdr:cNvPr>
          <xdr:cNvSpPr/>
        </xdr:nvSpPr>
        <xdr:spPr>
          <a:xfrm>
            <a:off x="9620249" y="285751"/>
            <a:ext cx="866776" cy="361950"/>
          </a:xfrm>
          <a:prstGeom prst="rect">
            <a:avLst/>
          </a:prstGeom>
          <a:blipFill dpi="0" rotWithShape="1">
            <a:blip xmlns:r="http://schemas.openxmlformats.org/officeDocument/2006/relationships" r:embed="rId3"/>
            <a:srcRect/>
            <a:stretch>
              <a:fillRect t="9000" r="45000" b="9000"/>
            </a:stretch>
          </a:blipFill>
          <a:ln w="12700"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r"/>
            <a:r>
              <a:rPr lang="es-VE" sz="900" b="1">
                <a:solidFill>
                  <a:sysClr val="windowText" lastClr="000000"/>
                </a:solidFill>
                <a:latin typeface="Trebuchet MS" pitchFamily="34" charset="0"/>
              </a:rPr>
              <a:t>MENÚ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34</xdr:row>
          <xdr:rowOff>47625</xdr:rowOff>
        </xdr:from>
        <xdr:to>
          <xdr:col>5</xdr:col>
          <xdr:colOff>0</xdr:colOff>
          <xdr:row>36</xdr:row>
          <xdr:rowOff>28575</xdr:rowOff>
        </xdr:to>
        <xdr:sp macro="" textlink="">
          <xdr:nvSpPr>
            <xdr:cNvPr id="25603" name="CommandButton1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E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466725</xdr:colOff>
      <xdr:row>48</xdr:row>
      <xdr:rowOff>0</xdr:rowOff>
    </xdr:from>
    <xdr:to>
      <xdr:col>5</xdr:col>
      <xdr:colOff>542925</xdr:colOff>
      <xdr:row>49</xdr:row>
      <xdr:rowOff>38100</xdr:rowOff>
    </xdr:to>
    <xdr:sp macro="" textlink="">
      <xdr:nvSpPr>
        <xdr:cNvPr id="152967" name="Text Box 4">
          <a:extLst>
            <a:ext uri="{FF2B5EF4-FFF2-40B4-BE49-F238E27FC236}">
              <a16:creationId xmlns:a16="http://schemas.microsoft.com/office/drawing/2014/main" id="{00000000-0008-0000-1000-000087550200}"/>
            </a:ext>
          </a:extLst>
        </xdr:cNvPr>
        <xdr:cNvSpPr txBox="1">
          <a:spLocks noChangeArrowheads="1"/>
        </xdr:cNvSpPr>
      </xdr:nvSpPr>
      <xdr:spPr bwMode="auto">
        <a:xfrm>
          <a:off x="4810125" y="1443037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466725</xdr:colOff>
      <xdr:row>106</xdr:row>
      <xdr:rowOff>19050</xdr:rowOff>
    </xdr:from>
    <xdr:to>
      <xdr:col>5</xdr:col>
      <xdr:colOff>542925</xdr:colOff>
      <xdr:row>107</xdr:row>
      <xdr:rowOff>9525</xdr:rowOff>
    </xdr:to>
    <xdr:sp macro="" textlink="">
      <xdr:nvSpPr>
        <xdr:cNvPr id="152968" name="Text Box 3">
          <a:extLst>
            <a:ext uri="{FF2B5EF4-FFF2-40B4-BE49-F238E27FC236}">
              <a16:creationId xmlns:a16="http://schemas.microsoft.com/office/drawing/2014/main" id="{00000000-0008-0000-1000-000088550200}"/>
            </a:ext>
          </a:extLst>
        </xdr:cNvPr>
        <xdr:cNvSpPr txBox="1">
          <a:spLocks noChangeArrowheads="1"/>
        </xdr:cNvSpPr>
      </xdr:nvSpPr>
      <xdr:spPr bwMode="auto">
        <a:xfrm>
          <a:off x="4810125" y="3182302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123825</xdr:colOff>
          <xdr:row>20</xdr:row>
          <xdr:rowOff>276225</xdr:rowOff>
        </xdr:from>
        <xdr:to>
          <xdr:col>44</xdr:col>
          <xdr:colOff>390525</xdr:colOff>
          <xdr:row>22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1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VE" sz="1000" b="1" i="0" u="none" strike="noStrike" baseline="0">
                  <a:solidFill>
                    <a:srgbClr val="333399"/>
                  </a:solidFill>
                  <a:latin typeface="Century Gothic"/>
                </a:rPr>
                <a:t>Regresar al Menú Principal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</xdr:row>
          <xdr:rowOff>28575</xdr:rowOff>
        </xdr:from>
        <xdr:to>
          <xdr:col>9</xdr:col>
          <xdr:colOff>9525</xdr:colOff>
          <xdr:row>5</xdr:row>
          <xdr:rowOff>57150</xdr:rowOff>
        </xdr:to>
        <xdr:sp macro="" textlink="">
          <xdr:nvSpPr>
            <xdr:cNvPr id="4116" name="CommandButton1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1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466725</xdr:colOff>
      <xdr:row>45</xdr:row>
      <xdr:rowOff>0</xdr:rowOff>
    </xdr:from>
    <xdr:to>
      <xdr:col>5</xdr:col>
      <xdr:colOff>542925</xdr:colOff>
      <xdr:row>46</xdr:row>
      <xdr:rowOff>38100</xdr:rowOff>
    </xdr:to>
    <xdr:sp macro="" textlink="">
      <xdr:nvSpPr>
        <xdr:cNvPr id="177684" name="Text Box 4">
          <a:extLst>
            <a:ext uri="{FF2B5EF4-FFF2-40B4-BE49-F238E27FC236}">
              <a16:creationId xmlns:a16="http://schemas.microsoft.com/office/drawing/2014/main" id="{00000000-0008-0000-1100-000014B60200}"/>
            </a:ext>
          </a:extLst>
        </xdr:cNvPr>
        <xdr:cNvSpPr txBox="1">
          <a:spLocks noChangeArrowheads="1"/>
        </xdr:cNvSpPr>
      </xdr:nvSpPr>
      <xdr:spPr bwMode="auto">
        <a:xfrm>
          <a:off x="4810125" y="1298257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466725</xdr:colOff>
      <xdr:row>103</xdr:row>
      <xdr:rowOff>19050</xdr:rowOff>
    </xdr:from>
    <xdr:to>
      <xdr:col>5</xdr:col>
      <xdr:colOff>542925</xdr:colOff>
      <xdr:row>104</xdr:row>
      <xdr:rowOff>9525</xdr:rowOff>
    </xdr:to>
    <xdr:sp macro="" textlink="">
      <xdr:nvSpPr>
        <xdr:cNvPr id="177685" name="Text Box 3">
          <a:extLst>
            <a:ext uri="{FF2B5EF4-FFF2-40B4-BE49-F238E27FC236}">
              <a16:creationId xmlns:a16="http://schemas.microsoft.com/office/drawing/2014/main" id="{00000000-0008-0000-1100-000015B60200}"/>
            </a:ext>
          </a:extLst>
        </xdr:cNvPr>
        <xdr:cNvSpPr txBox="1">
          <a:spLocks noChangeArrowheads="1"/>
        </xdr:cNvSpPr>
      </xdr:nvSpPr>
      <xdr:spPr bwMode="auto">
        <a:xfrm>
          <a:off x="4810125" y="2885122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123825</xdr:colOff>
          <xdr:row>17</xdr:row>
          <xdr:rowOff>276225</xdr:rowOff>
        </xdr:from>
        <xdr:to>
          <xdr:col>44</xdr:col>
          <xdr:colOff>390525</xdr:colOff>
          <xdr:row>19</xdr:row>
          <xdr:rowOff>76200</xdr:rowOff>
        </xdr:to>
        <xdr:sp macro="" textlink="">
          <xdr:nvSpPr>
            <xdr:cNvPr id="79873" name="Button 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11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VE" sz="1000" b="1" i="0" u="none" strike="noStrike" baseline="0">
                  <a:solidFill>
                    <a:srgbClr val="333399"/>
                  </a:solidFill>
                  <a:latin typeface="Century Gothic"/>
                </a:rPr>
                <a:t>Regresar al Menú Principal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11</xdr:col>
      <xdr:colOff>152400</xdr:colOff>
      <xdr:row>2</xdr:row>
      <xdr:rowOff>57150</xdr:rowOff>
    </xdr:to>
    <xdr:grpSp>
      <xdr:nvGrpSpPr>
        <xdr:cNvPr id="177686" name="27 Grupo">
          <a:extLst>
            <a:ext uri="{FF2B5EF4-FFF2-40B4-BE49-F238E27FC236}">
              <a16:creationId xmlns:a16="http://schemas.microsoft.com/office/drawing/2014/main" id="{00000000-0008-0000-1100-000016B60200}"/>
            </a:ext>
          </a:extLst>
        </xdr:cNvPr>
        <xdr:cNvGrpSpPr>
          <a:grpSpLocks/>
        </xdr:cNvGrpSpPr>
      </xdr:nvGrpSpPr>
      <xdr:grpSpPr bwMode="auto">
        <a:xfrm>
          <a:off x="0" y="0"/>
          <a:ext cx="9744075" cy="361950"/>
          <a:chOff x="647701" y="2219327"/>
          <a:chExt cx="8642086" cy="419201"/>
        </a:xfrm>
      </xdr:grpSpPr>
      <xdr:pic macro="[0]!CerrarFormulario">
        <xdr:nvPicPr>
          <xdr:cNvPr id="15" name="14 Imagen">
            <a:extLst>
              <a:ext uri="{FF2B5EF4-FFF2-40B4-BE49-F238E27FC236}">
                <a16:creationId xmlns:a16="http://schemas.microsoft.com/office/drawing/2014/main" id="{00000000-0008-0000-1100-00000F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65378" t="48218" r="17143" b="46556"/>
          <a:stretch/>
        </xdr:blipFill>
        <xdr:spPr>
          <a:xfrm>
            <a:off x="8501575" y="2219328"/>
            <a:ext cx="788212" cy="411789"/>
          </a:xfrm>
          <a:prstGeom prst="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</xdr:pic>
      <xdr:pic macro="[0]!Form_Help">
        <xdr:nvPicPr>
          <xdr:cNvPr id="16" name="15 Imagen">
            <a:extLst>
              <a:ext uri="{FF2B5EF4-FFF2-40B4-BE49-F238E27FC236}">
                <a16:creationId xmlns:a16="http://schemas.microsoft.com/office/drawing/2014/main" id="{00000000-0008-0000-1100-000010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235" t="48218" r="74622" b="46556"/>
          <a:stretch/>
        </xdr:blipFill>
        <xdr:spPr>
          <a:xfrm>
            <a:off x="647701" y="2219327"/>
            <a:ext cx="786970" cy="419201"/>
          </a:xfrm>
          <a:prstGeom prst="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</xdr:pic>
      <xdr:pic>
        <xdr:nvPicPr>
          <xdr:cNvPr id="17" name="16 Imagen">
            <a:extLst>
              <a:ext uri="{FF2B5EF4-FFF2-40B4-BE49-F238E27FC236}">
                <a16:creationId xmlns:a16="http://schemas.microsoft.com/office/drawing/2014/main" id="{00000000-0008-0000-1100-00001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0253" t="33492" r="8067" b="61401"/>
          <a:stretch/>
        </xdr:blipFill>
        <xdr:spPr>
          <a:xfrm>
            <a:off x="1790700" y="2224089"/>
            <a:ext cx="6309798" cy="409575"/>
          </a:xfrm>
          <a:prstGeom prst="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</xdr:pic>
      <xdr:cxnSp macro="">
        <xdr:nvCxnSpPr>
          <xdr:cNvPr id="18" name="17 Conector recto">
            <a:extLst>
              <a:ext uri="{FF2B5EF4-FFF2-40B4-BE49-F238E27FC236}">
                <a16:creationId xmlns:a16="http://schemas.microsoft.com/office/drawing/2014/main" id="{00000000-0008-0000-1100-000012000000}"/>
              </a:ext>
            </a:extLst>
          </xdr:cNvPr>
          <xdr:cNvCxnSpPr/>
        </xdr:nvCxnSpPr>
        <xdr:spPr>
          <a:xfrm flipV="1">
            <a:off x="4364727" y="2340675"/>
            <a:ext cx="0" cy="220632"/>
          </a:xfrm>
          <a:prstGeom prst="line">
            <a:avLst/>
          </a:prstGeom>
          <a:ln w="1270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 fPrintsWithSheet="0"/>
  </xdr:twoCellAnchor>
  <xdr:twoCellAnchor>
    <xdr:from>
      <xdr:col>6</xdr:col>
      <xdr:colOff>447675</xdr:colOff>
      <xdr:row>1</xdr:row>
      <xdr:rowOff>95250</xdr:rowOff>
    </xdr:from>
    <xdr:to>
      <xdr:col>6</xdr:col>
      <xdr:colOff>447675</xdr:colOff>
      <xdr:row>1</xdr:row>
      <xdr:rowOff>285750</xdr:rowOff>
    </xdr:to>
    <xdr:cxnSp macro="">
      <xdr:nvCxnSpPr>
        <xdr:cNvPr id="19" name="18 Conector recto"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CxnSpPr/>
      </xdr:nvCxnSpPr>
      <xdr:spPr bwMode="auto">
        <a:xfrm flipV="1">
          <a:off x="5467350" y="95250"/>
          <a:ext cx="0" cy="1905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304800</xdr:colOff>
      <xdr:row>1</xdr:row>
      <xdr:rowOff>57150</xdr:rowOff>
    </xdr:from>
    <xdr:to>
      <xdr:col>4</xdr:col>
      <xdr:colOff>1019775</xdr:colOff>
      <xdr:row>2</xdr:row>
      <xdr:rowOff>28575</xdr:rowOff>
    </xdr:to>
    <xdr:sp macro="" textlink="">
      <xdr:nvSpPr>
        <xdr:cNvPr id="20" name="19 CuadroTexto">
          <a:hlinkClick xmlns:r="http://schemas.openxmlformats.org/officeDocument/2006/relationships" r:id="rId3" tooltip="Ver solicitud"/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SpPr txBox="1"/>
      </xdr:nvSpPr>
      <xdr:spPr bwMode="auto">
        <a:xfrm>
          <a:off x="2876550" y="57150"/>
          <a:ext cx="129600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VE" sz="1200" b="1" u="none">
              <a:ln>
                <a:noFill/>
              </a:ln>
              <a:solidFill>
                <a:schemeClr val="bg1">
                  <a:lumMod val="95000"/>
                </a:schemeClr>
              </a:solidFill>
              <a:effectLst>
                <a:glow rad="228600">
                  <a:schemeClr val="bg1">
                    <a:lumMod val="6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Ordenes</a:t>
          </a:r>
          <a:r>
            <a:rPr lang="es-VE" sz="1200" b="1" u="none" baseline="0">
              <a:ln>
                <a:noFill/>
              </a:ln>
              <a:solidFill>
                <a:schemeClr val="bg1">
                  <a:lumMod val="95000"/>
                </a:schemeClr>
              </a:solidFill>
              <a:effectLst>
                <a:glow rad="228600">
                  <a:schemeClr val="bg1">
                    <a:lumMod val="6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 de Pago </a:t>
          </a:r>
          <a:endParaRPr lang="es-VE" sz="1200" b="1" u="none">
            <a:ln>
              <a:noFill/>
            </a:ln>
            <a:solidFill>
              <a:schemeClr val="bg1">
                <a:lumMod val="95000"/>
              </a:schemeClr>
            </a:solidFill>
            <a:effectLst>
              <a:glow rad="228600">
                <a:schemeClr val="bg1">
                  <a:lumMod val="6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542925</xdr:colOff>
      <xdr:row>1</xdr:row>
      <xdr:rowOff>57150</xdr:rowOff>
    </xdr:from>
    <xdr:to>
      <xdr:col>6</xdr:col>
      <xdr:colOff>2057399</xdr:colOff>
      <xdr:row>2</xdr:row>
      <xdr:rowOff>28575</xdr:rowOff>
    </xdr:to>
    <xdr:sp macro="" textlink="">
      <xdr:nvSpPr>
        <xdr:cNvPr id="21" name="20 CuadroTexto">
          <a:hlinkClick xmlns:r="http://schemas.openxmlformats.org/officeDocument/2006/relationships" r:id="rId4" tooltip="Ver formato de Archivo"/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SpPr txBox="1"/>
      </xdr:nvSpPr>
      <xdr:spPr bwMode="auto">
        <a:xfrm>
          <a:off x="5562600" y="57150"/>
          <a:ext cx="1514474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VE" sz="1200" b="1" u="sng">
              <a:ln>
                <a:noFill/>
              </a:ln>
              <a:solidFill>
                <a:schemeClr val="bg1"/>
              </a:solidFill>
              <a:effectLst>
                <a:glow rad="228600">
                  <a:schemeClr val="accent3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Formato de Archivo</a:t>
          </a:r>
        </a:p>
      </xdr:txBody>
    </xdr:sp>
    <xdr:clientData/>
  </xdr:twoCellAnchor>
  <xdr:twoCellAnchor>
    <xdr:from>
      <xdr:col>5</xdr:col>
      <xdr:colOff>28575</xdr:colOff>
      <xdr:row>1</xdr:row>
      <xdr:rowOff>57150</xdr:rowOff>
    </xdr:from>
    <xdr:to>
      <xdr:col>6</xdr:col>
      <xdr:colOff>323850</xdr:colOff>
      <xdr:row>2</xdr:row>
      <xdr:rowOff>28575</xdr:rowOff>
    </xdr:to>
    <xdr:sp macro="" textlink="">
      <xdr:nvSpPr>
        <xdr:cNvPr id="22" name="21 CuadroTexto">
          <a:hlinkClick xmlns:r="http://schemas.openxmlformats.org/officeDocument/2006/relationships" r:id="rId5" tooltip="Ver listado de códigos de Bancos"/>
          <a:extLst>
            <a:ext uri="{FF2B5EF4-FFF2-40B4-BE49-F238E27FC236}">
              <a16:creationId xmlns:a16="http://schemas.microsoft.com/office/drawing/2014/main" id="{00000000-0008-0000-1100-000016000000}"/>
            </a:ext>
          </a:extLst>
        </xdr:cNvPr>
        <xdr:cNvSpPr txBox="1"/>
      </xdr:nvSpPr>
      <xdr:spPr bwMode="auto">
        <a:xfrm>
          <a:off x="4371975" y="5715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VE" sz="1200" b="1" u="none">
              <a:ln>
                <a:noFill/>
              </a:ln>
              <a:solidFill>
                <a:schemeClr val="bg1">
                  <a:lumMod val="95000"/>
                </a:schemeClr>
              </a:solidFill>
              <a:effectLst>
                <a:glow rad="228600">
                  <a:schemeClr val="bg1">
                    <a:lumMod val="65000"/>
                    <a:alpha val="40000"/>
                  </a:schemeClr>
                </a:glow>
              </a:effectLst>
            </a:rPr>
            <a:t>Cod.</a:t>
          </a:r>
          <a:r>
            <a:rPr lang="es-VE" sz="1200" b="1" u="none" baseline="0">
              <a:ln>
                <a:noFill/>
              </a:ln>
              <a:solidFill>
                <a:schemeClr val="bg1">
                  <a:lumMod val="95000"/>
                </a:schemeClr>
              </a:solidFill>
              <a:effectLst>
                <a:glow rad="228600">
                  <a:schemeClr val="bg1">
                    <a:lumMod val="65000"/>
                    <a:alpha val="40000"/>
                  </a:schemeClr>
                </a:glow>
              </a:effectLst>
            </a:rPr>
            <a:t> Bancos</a:t>
          </a:r>
          <a:endParaRPr lang="es-VE" sz="1200" b="1" u="none">
            <a:ln>
              <a:noFill/>
            </a:ln>
            <a:solidFill>
              <a:schemeClr val="bg1">
                <a:lumMod val="95000"/>
              </a:schemeClr>
            </a:solidFill>
            <a:effectLst>
              <a:glow rad="228600">
                <a:schemeClr val="bg1">
                  <a:lumMod val="65000"/>
                  <a:alpha val="40000"/>
                </a:schemeClr>
              </a:glow>
            </a:effectLst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314325</xdr:colOff>
      <xdr:row>1</xdr:row>
      <xdr:rowOff>152400</xdr:rowOff>
    </xdr:to>
    <xdr:grpSp>
      <xdr:nvGrpSpPr>
        <xdr:cNvPr id="181490" name="27 Grupo">
          <a:extLst>
            <a:ext uri="{FF2B5EF4-FFF2-40B4-BE49-F238E27FC236}">
              <a16:creationId xmlns:a16="http://schemas.microsoft.com/office/drawing/2014/main" id="{00000000-0008-0000-1200-0000F2C40200}"/>
            </a:ext>
          </a:extLst>
        </xdr:cNvPr>
        <xdr:cNvGrpSpPr>
          <a:grpSpLocks/>
        </xdr:cNvGrpSpPr>
      </xdr:nvGrpSpPr>
      <xdr:grpSpPr bwMode="auto">
        <a:xfrm>
          <a:off x="0" y="0"/>
          <a:ext cx="9744075" cy="361950"/>
          <a:chOff x="647701" y="2219327"/>
          <a:chExt cx="8642086" cy="419201"/>
        </a:xfrm>
      </xdr:grpSpPr>
      <xdr:pic macro="[0]!CerrarFormulario">
        <xdr:nvPicPr>
          <xdr:cNvPr id="12" name="11 Imagen">
            <a:extLst>
              <a:ext uri="{FF2B5EF4-FFF2-40B4-BE49-F238E27FC236}">
                <a16:creationId xmlns:a16="http://schemas.microsoft.com/office/drawing/2014/main" id="{00000000-0008-0000-1200-00000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65378" t="48218" r="17143" b="46556"/>
          <a:stretch/>
        </xdr:blipFill>
        <xdr:spPr>
          <a:xfrm>
            <a:off x="8501575" y="2219328"/>
            <a:ext cx="788212" cy="411789"/>
          </a:xfrm>
          <a:prstGeom prst="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</xdr:pic>
      <xdr:pic macro="[0]!Form_Help">
        <xdr:nvPicPr>
          <xdr:cNvPr id="13" name="12 Imagen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235" t="48218" r="74622" b="46556"/>
          <a:stretch/>
        </xdr:blipFill>
        <xdr:spPr>
          <a:xfrm>
            <a:off x="647701" y="2219327"/>
            <a:ext cx="786970" cy="419201"/>
          </a:xfrm>
          <a:prstGeom prst="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</xdr:pic>
      <xdr:pic>
        <xdr:nvPicPr>
          <xdr:cNvPr id="14" name="13 Imagen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0253" t="33492" r="8067" b="61401"/>
          <a:stretch/>
        </xdr:blipFill>
        <xdr:spPr>
          <a:xfrm>
            <a:off x="1790700" y="2224089"/>
            <a:ext cx="6309798" cy="409575"/>
          </a:xfrm>
          <a:prstGeom prst="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</xdr:pic>
      <xdr:cxnSp macro="">
        <xdr:nvCxnSpPr>
          <xdr:cNvPr id="15" name="14 Conector recto">
            <a:extLst>
              <a:ext uri="{FF2B5EF4-FFF2-40B4-BE49-F238E27FC236}">
                <a16:creationId xmlns:a16="http://schemas.microsoft.com/office/drawing/2014/main" id="{00000000-0008-0000-1200-00000F000000}"/>
              </a:ext>
            </a:extLst>
          </xdr:cNvPr>
          <xdr:cNvCxnSpPr/>
        </xdr:nvCxnSpPr>
        <xdr:spPr>
          <a:xfrm flipV="1">
            <a:off x="4364727" y="2340675"/>
            <a:ext cx="0" cy="220632"/>
          </a:xfrm>
          <a:prstGeom prst="line">
            <a:avLst/>
          </a:prstGeom>
          <a:ln w="1270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 fPrintsWithSheet="0"/>
  </xdr:twoCellAnchor>
  <xdr:twoCellAnchor>
    <xdr:from>
      <xdr:col>2</xdr:col>
      <xdr:colOff>4067175</xdr:colOff>
      <xdr:row>0</xdr:row>
      <xdr:rowOff>95250</xdr:rowOff>
    </xdr:from>
    <xdr:to>
      <xdr:col>2</xdr:col>
      <xdr:colOff>4067175</xdr:colOff>
      <xdr:row>1</xdr:row>
      <xdr:rowOff>76200</xdr:rowOff>
    </xdr:to>
    <xdr:cxnSp macro="">
      <xdr:nvCxnSpPr>
        <xdr:cNvPr id="16" name="15 Conector recto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CxnSpPr/>
      </xdr:nvCxnSpPr>
      <xdr:spPr bwMode="auto">
        <a:xfrm flipV="1">
          <a:off x="5467350" y="95250"/>
          <a:ext cx="0" cy="1905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1476375</xdr:colOff>
      <xdr:row>0</xdr:row>
      <xdr:rowOff>57150</xdr:rowOff>
    </xdr:from>
    <xdr:to>
      <xdr:col>2</xdr:col>
      <xdr:colOff>2772375</xdr:colOff>
      <xdr:row>1</xdr:row>
      <xdr:rowOff>123825</xdr:rowOff>
    </xdr:to>
    <xdr:sp macro="" textlink="">
      <xdr:nvSpPr>
        <xdr:cNvPr id="17" name="16 CuadroTexto">
          <a:hlinkClick xmlns:r="http://schemas.openxmlformats.org/officeDocument/2006/relationships" r:id="rId3" tooltip="Ver solicitud"/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SpPr txBox="1"/>
      </xdr:nvSpPr>
      <xdr:spPr bwMode="auto">
        <a:xfrm>
          <a:off x="2876550" y="57150"/>
          <a:ext cx="129600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VE" sz="1200" b="1" u="none">
              <a:ln>
                <a:noFill/>
              </a:ln>
              <a:solidFill>
                <a:schemeClr val="bg1">
                  <a:lumMod val="95000"/>
                </a:schemeClr>
              </a:solidFill>
              <a:effectLst>
                <a:glow rad="228600">
                  <a:schemeClr val="bg1">
                    <a:lumMod val="6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Ordenes de Pago</a:t>
          </a:r>
        </a:p>
      </xdr:txBody>
    </xdr:sp>
    <xdr:clientData/>
  </xdr:twoCellAnchor>
  <xdr:twoCellAnchor>
    <xdr:from>
      <xdr:col>2</xdr:col>
      <xdr:colOff>4162425</xdr:colOff>
      <xdr:row>0</xdr:row>
      <xdr:rowOff>57150</xdr:rowOff>
    </xdr:from>
    <xdr:to>
      <xdr:col>3</xdr:col>
      <xdr:colOff>695324</xdr:colOff>
      <xdr:row>1</xdr:row>
      <xdr:rowOff>123825</xdr:rowOff>
    </xdr:to>
    <xdr:sp macro="" textlink="">
      <xdr:nvSpPr>
        <xdr:cNvPr id="18" name="17 CuadroTexto">
          <a:hlinkClick xmlns:r="http://schemas.openxmlformats.org/officeDocument/2006/relationships" r:id="rId4" tooltip="Ver formato de Archivo"/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SpPr txBox="1"/>
      </xdr:nvSpPr>
      <xdr:spPr bwMode="auto">
        <a:xfrm>
          <a:off x="5562600" y="57150"/>
          <a:ext cx="1514474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VE" sz="1200" b="1" u="none">
              <a:ln>
                <a:noFill/>
              </a:ln>
              <a:solidFill>
                <a:schemeClr val="bg1">
                  <a:lumMod val="95000"/>
                </a:schemeClr>
              </a:solidFill>
              <a:effectLst>
                <a:glow rad="228600">
                  <a:schemeClr val="bg1">
                    <a:lumMod val="6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Formato de Archivo</a:t>
          </a:r>
        </a:p>
      </xdr:txBody>
    </xdr:sp>
    <xdr:clientData/>
  </xdr:twoCellAnchor>
  <xdr:twoCellAnchor>
    <xdr:from>
      <xdr:col>2</xdr:col>
      <xdr:colOff>2971800</xdr:colOff>
      <xdr:row>0</xdr:row>
      <xdr:rowOff>57150</xdr:rowOff>
    </xdr:from>
    <xdr:to>
      <xdr:col>2</xdr:col>
      <xdr:colOff>3943350</xdr:colOff>
      <xdr:row>1</xdr:row>
      <xdr:rowOff>123825</xdr:rowOff>
    </xdr:to>
    <xdr:sp macro="" textlink="">
      <xdr:nvSpPr>
        <xdr:cNvPr id="19" name="18 CuadroTexto">
          <a:hlinkClick xmlns:r="http://schemas.openxmlformats.org/officeDocument/2006/relationships" r:id="rId5" tooltip="Ver listado de códigos de Bancos"/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SpPr txBox="1"/>
      </xdr:nvSpPr>
      <xdr:spPr bwMode="auto">
        <a:xfrm>
          <a:off x="4371975" y="5715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VE" sz="1200" b="1" u="sng">
              <a:ln>
                <a:noFill/>
              </a:ln>
              <a:solidFill>
                <a:schemeClr val="bg1"/>
              </a:solidFill>
              <a:effectLst>
                <a:glow rad="228600">
                  <a:schemeClr val="accent3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Cod. Bancos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114300</xdr:rowOff>
    </xdr:from>
    <xdr:to>
      <xdr:col>4</xdr:col>
      <xdr:colOff>676275</xdr:colOff>
      <xdr:row>14</xdr:row>
      <xdr:rowOff>142875</xdr:rowOff>
    </xdr:to>
    <xdr:pic>
      <xdr:nvPicPr>
        <xdr:cNvPr id="168859" name="1 Imagen" descr="2003-1.jpg">
          <a:extLst>
            <a:ext uri="{FF2B5EF4-FFF2-40B4-BE49-F238E27FC236}">
              <a16:creationId xmlns:a16="http://schemas.microsoft.com/office/drawing/2014/main" id="{00000000-0008-0000-1300-00009B93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3724275" cy="2752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16</xdr:row>
      <xdr:rowOff>95250</xdr:rowOff>
    </xdr:from>
    <xdr:to>
      <xdr:col>4</xdr:col>
      <xdr:colOff>638175</xdr:colOff>
      <xdr:row>29</xdr:row>
      <xdr:rowOff>123825</xdr:rowOff>
    </xdr:to>
    <xdr:pic>
      <xdr:nvPicPr>
        <xdr:cNvPr id="168860" name="2 Imagen" descr="2003-2.jpg">
          <a:extLst>
            <a:ext uri="{FF2B5EF4-FFF2-40B4-BE49-F238E27FC236}">
              <a16:creationId xmlns:a16="http://schemas.microsoft.com/office/drawing/2014/main" id="{00000000-0008-0000-1300-00009C93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7100"/>
          <a:ext cx="3686175" cy="2752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28575</xdr:colOff>
      <xdr:row>31</xdr:row>
      <xdr:rowOff>114300</xdr:rowOff>
    </xdr:from>
    <xdr:to>
      <xdr:col>4</xdr:col>
      <xdr:colOff>638175</xdr:colOff>
      <xdr:row>44</xdr:row>
      <xdr:rowOff>142875</xdr:rowOff>
    </xdr:to>
    <xdr:pic>
      <xdr:nvPicPr>
        <xdr:cNvPr id="168861" name="3 Imagen" descr="2003-3.jpg">
          <a:extLst>
            <a:ext uri="{FF2B5EF4-FFF2-40B4-BE49-F238E27FC236}">
              <a16:creationId xmlns:a16="http://schemas.microsoft.com/office/drawing/2014/main" id="{00000000-0008-0000-1300-00009D93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6629400"/>
          <a:ext cx="3657600" cy="2752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9525</xdr:colOff>
      <xdr:row>106</xdr:row>
      <xdr:rowOff>28575</xdr:rowOff>
    </xdr:from>
    <xdr:to>
      <xdr:col>5</xdr:col>
      <xdr:colOff>0</xdr:colOff>
      <xdr:row>119</xdr:row>
      <xdr:rowOff>171450</xdr:rowOff>
    </xdr:to>
    <xdr:pic>
      <xdr:nvPicPr>
        <xdr:cNvPr id="168862" name="4 Imagen" descr="2007-3.jpg">
          <a:extLst>
            <a:ext uri="{FF2B5EF4-FFF2-40B4-BE49-F238E27FC236}">
              <a16:creationId xmlns:a16="http://schemas.microsoft.com/office/drawing/2014/main" id="{00000000-0008-0000-1300-00009E93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2278975"/>
          <a:ext cx="3800475" cy="2867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9525</xdr:colOff>
      <xdr:row>73</xdr:row>
      <xdr:rowOff>47625</xdr:rowOff>
    </xdr:from>
    <xdr:to>
      <xdr:col>5</xdr:col>
      <xdr:colOff>9525</xdr:colOff>
      <xdr:row>86</xdr:row>
      <xdr:rowOff>171450</xdr:rowOff>
    </xdr:to>
    <xdr:pic>
      <xdr:nvPicPr>
        <xdr:cNvPr id="168863" name="5 Imagen" descr="2007-1.jpg">
          <a:extLst>
            <a:ext uri="{FF2B5EF4-FFF2-40B4-BE49-F238E27FC236}">
              <a16:creationId xmlns:a16="http://schemas.microsoft.com/office/drawing/2014/main" id="{00000000-0008-0000-1300-00009F93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5382875"/>
          <a:ext cx="3810000" cy="2847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47625</xdr:colOff>
      <xdr:row>89</xdr:row>
      <xdr:rowOff>76200</xdr:rowOff>
    </xdr:from>
    <xdr:to>
      <xdr:col>4</xdr:col>
      <xdr:colOff>742950</xdr:colOff>
      <xdr:row>102</xdr:row>
      <xdr:rowOff>171450</xdr:rowOff>
    </xdr:to>
    <xdr:pic>
      <xdr:nvPicPr>
        <xdr:cNvPr id="168864" name="6 Imagen" descr="2007-2.jpg">
          <a:extLst>
            <a:ext uri="{FF2B5EF4-FFF2-40B4-BE49-F238E27FC236}">
              <a16:creationId xmlns:a16="http://schemas.microsoft.com/office/drawing/2014/main" id="{00000000-0008-0000-1300-0000A093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8764250"/>
          <a:ext cx="3743325" cy="2819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323850</xdr:colOff>
      <xdr:row>137</xdr:row>
      <xdr:rowOff>190500</xdr:rowOff>
    </xdr:from>
    <xdr:to>
      <xdr:col>4</xdr:col>
      <xdr:colOff>276225</xdr:colOff>
      <xdr:row>156</xdr:row>
      <xdr:rowOff>180975</xdr:rowOff>
    </xdr:to>
    <xdr:pic>
      <xdr:nvPicPr>
        <xdr:cNvPr id="168865" name="7 Imagen" descr="1 pantalla.jpg">
          <a:extLst>
            <a:ext uri="{FF2B5EF4-FFF2-40B4-BE49-F238E27FC236}">
              <a16:creationId xmlns:a16="http://schemas.microsoft.com/office/drawing/2014/main" id="{00000000-0008-0000-1300-0000A193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7850" y="28956000"/>
          <a:ext cx="1476375" cy="397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9525</xdr:colOff>
      <xdr:row>160</xdr:row>
      <xdr:rowOff>47625</xdr:rowOff>
    </xdr:from>
    <xdr:to>
      <xdr:col>5</xdr:col>
      <xdr:colOff>104775</xdr:colOff>
      <xdr:row>171</xdr:row>
      <xdr:rowOff>66675</xdr:rowOff>
    </xdr:to>
    <xdr:pic>
      <xdr:nvPicPr>
        <xdr:cNvPr id="168866" name="8 Imagen" descr="2 pant.jpg">
          <a:extLst>
            <a:ext uri="{FF2B5EF4-FFF2-40B4-BE49-F238E27FC236}">
              <a16:creationId xmlns:a16="http://schemas.microsoft.com/office/drawing/2014/main" id="{00000000-0008-0000-1300-0000A293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3632775"/>
          <a:ext cx="3905250" cy="2324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174</xdr:row>
      <xdr:rowOff>0</xdr:rowOff>
    </xdr:from>
    <xdr:to>
      <xdr:col>4</xdr:col>
      <xdr:colOff>752475</xdr:colOff>
      <xdr:row>187</xdr:row>
      <xdr:rowOff>142875</xdr:rowOff>
    </xdr:to>
    <xdr:pic>
      <xdr:nvPicPr>
        <xdr:cNvPr id="168867" name="4 Imagen" descr="2007-3.jpg">
          <a:extLst>
            <a:ext uri="{FF2B5EF4-FFF2-40B4-BE49-F238E27FC236}">
              <a16:creationId xmlns:a16="http://schemas.microsoft.com/office/drawing/2014/main" id="{00000000-0008-0000-1300-0000A393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518850"/>
          <a:ext cx="3800475" cy="2867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228600</xdr:colOff>
      <xdr:row>1</xdr:row>
      <xdr:rowOff>152400</xdr:rowOff>
    </xdr:to>
    <xdr:grpSp>
      <xdr:nvGrpSpPr>
        <xdr:cNvPr id="170830" name="27 Grupo">
          <a:extLst>
            <a:ext uri="{FF2B5EF4-FFF2-40B4-BE49-F238E27FC236}">
              <a16:creationId xmlns:a16="http://schemas.microsoft.com/office/drawing/2014/main" id="{00000000-0008-0000-1400-00004E9B0200}"/>
            </a:ext>
          </a:extLst>
        </xdr:cNvPr>
        <xdr:cNvGrpSpPr>
          <a:grpSpLocks/>
        </xdr:cNvGrpSpPr>
      </xdr:nvGrpSpPr>
      <xdr:grpSpPr bwMode="auto">
        <a:xfrm>
          <a:off x="0" y="0"/>
          <a:ext cx="8896350" cy="361950"/>
          <a:chOff x="647701" y="2219327"/>
          <a:chExt cx="8642086" cy="419201"/>
        </a:xfrm>
      </xdr:grpSpPr>
      <xdr:pic macro="[0]!CerrarFormulario">
        <xdr:nvPicPr>
          <xdr:cNvPr id="15" name="14 Imagen">
            <a:extLst>
              <a:ext uri="{FF2B5EF4-FFF2-40B4-BE49-F238E27FC236}">
                <a16:creationId xmlns:a16="http://schemas.microsoft.com/office/drawing/2014/main" id="{00000000-0008-0000-1400-00000F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65378" t="48218" r="17143" b="46556"/>
          <a:stretch/>
        </xdr:blipFill>
        <xdr:spPr>
          <a:xfrm>
            <a:off x="8501575" y="2219328"/>
            <a:ext cx="788212" cy="411789"/>
          </a:xfrm>
          <a:prstGeom prst="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</xdr:pic>
      <xdr:pic macro="[0]!Form_Help">
        <xdr:nvPicPr>
          <xdr:cNvPr id="16" name="15 Imagen">
            <a:extLst>
              <a:ext uri="{FF2B5EF4-FFF2-40B4-BE49-F238E27FC236}">
                <a16:creationId xmlns:a16="http://schemas.microsoft.com/office/drawing/2014/main" id="{00000000-0008-0000-1400-000010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235" t="48218" r="74622" b="46556"/>
          <a:stretch/>
        </xdr:blipFill>
        <xdr:spPr>
          <a:xfrm>
            <a:off x="647701" y="2219327"/>
            <a:ext cx="786970" cy="419201"/>
          </a:xfrm>
          <a:prstGeom prst="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</xdr:pic>
      <xdr:pic>
        <xdr:nvPicPr>
          <xdr:cNvPr id="17" name="16 Imagen">
            <a:extLst>
              <a:ext uri="{FF2B5EF4-FFF2-40B4-BE49-F238E27FC236}">
                <a16:creationId xmlns:a16="http://schemas.microsoft.com/office/drawing/2014/main" id="{00000000-0008-0000-1400-00001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0253" t="33492" r="8067" b="61401"/>
          <a:stretch/>
        </xdr:blipFill>
        <xdr:spPr>
          <a:xfrm>
            <a:off x="1790700" y="2224089"/>
            <a:ext cx="6309798" cy="409575"/>
          </a:xfrm>
          <a:prstGeom prst="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</xdr:pic>
      <xdr:cxnSp macro="">
        <xdr:nvCxnSpPr>
          <xdr:cNvPr id="18" name="17 Conector recto">
            <a:extLst>
              <a:ext uri="{FF2B5EF4-FFF2-40B4-BE49-F238E27FC236}">
                <a16:creationId xmlns:a16="http://schemas.microsoft.com/office/drawing/2014/main" id="{00000000-0008-0000-1400-000012000000}"/>
              </a:ext>
            </a:extLst>
          </xdr:cNvPr>
          <xdr:cNvCxnSpPr/>
        </xdr:nvCxnSpPr>
        <xdr:spPr>
          <a:xfrm flipV="1">
            <a:off x="4284039" y="2340675"/>
            <a:ext cx="0" cy="220632"/>
          </a:xfrm>
          <a:prstGeom prst="line">
            <a:avLst/>
          </a:prstGeom>
          <a:ln w="1270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 fPrintsWithSheet="0"/>
  </xdr:twoCellAnchor>
  <xdr:twoCellAnchor>
    <xdr:from>
      <xdr:col>2</xdr:col>
      <xdr:colOff>3810000</xdr:colOff>
      <xdr:row>0</xdr:row>
      <xdr:rowOff>95250</xdr:rowOff>
    </xdr:from>
    <xdr:to>
      <xdr:col>2</xdr:col>
      <xdr:colOff>3810000</xdr:colOff>
      <xdr:row>1</xdr:row>
      <xdr:rowOff>76200</xdr:rowOff>
    </xdr:to>
    <xdr:cxnSp macro="">
      <xdr:nvCxnSpPr>
        <xdr:cNvPr id="19" name="18 Conector recto">
          <a:extLst>
            <a:ext uri="{FF2B5EF4-FFF2-40B4-BE49-F238E27FC236}">
              <a16:creationId xmlns:a16="http://schemas.microsoft.com/office/drawing/2014/main" id="{00000000-0008-0000-1400-000013000000}"/>
            </a:ext>
          </a:extLst>
        </xdr:cNvPr>
        <xdr:cNvCxnSpPr/>
      </xdr:nvCxnSpPr>
      <xdr:spPr bwMode="auto">
        <a:xfrm flipV="1">
          <a:off x="5210175" y="95250"/>
          <a:ext cx="0" cy="1905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2609850</xdr:colOff>
      <xdr:row>0</xdr:row>
      <xdr:rowOff>57150</xdr:rowOff>
    </xdr:from>
    <xdr:to>
      <xdr:col>2</xdr:col>
      <xdr:colOff>3581400</xdr:colOff>
      <xdr:row>1</xdr:row>
      <xdr:rowOff>123825</xdr:rowOff>
    </xdr:to>
    <xdr:sp macro="" textlink="">
      <xdr:nvSpPr>
        <xdr:cNvPr id="21" name="20 CuadroTexto">
          <a:extLst>
            <a:ext uri="{FF2B5EF4-FFF2-40B4-BE49-F238E27FC236}">
              <a16:creationId xmlns:a16="http://schemas.microsoft.com/office/drawing/2014/main" id="{00000000-0008-0000-1400-000015000000}"/>
            </a:ext>
          </a:extLst>
        </xdr:cNvPr>
        <xdr:cNvSpPr txBox="1"/>
      </xdr:nvSpPr>
      <xdr:spPr bwMode="auto">
        <a:xfrm>
          <a:off x="4010025" y="5715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VE" sz="1200" b="1" u="sng">
              <a:ln>
                <a:noFill/>
              </a:ln>
              <a:solidFill>
                <a:schemeClr val="bg1"/>
              </a:solidFill>
              <a:effectLst>
                <a:glow rad="228600">
                  <a:schemeClr val="accent3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Cod. Bancos</a:t>
          </a:r>
        </a:p>
      </xdr:txBody>
    </xdr:sp>
    <xdr:clientData/>
  </xdr:twoCellAnchor>
  <xdr:twoCellAnchor>
    <xdr:from>
      <xdr:col>2</xdr:col>
      <xdr:colOff>695325</xdr:colOff>
      <xdr:row>0</xdr:row>
      <xdr:rowOff>57150</xdr:rowOff>
    </xdr:from>
    <xdr:to>
      <xdr:col>2</xdr:col>
      <xdr:colOff>2279325</xdr:colOff>
      <xdr:row>1</xdr:row>
      <xdr:rowOff>123825</xdr:rowOff>
    </xdr:to>
    <xdr:sp macro="" textlink="">
      <xdr:nvSpPr>
        <xdr:cNvPr id="22" name="21 CuadroTexto">
          <a:hlinkClick xmlns:r="http://schemas.openxmlformats.org/officeDocument/2006/relationships" r:id="rId3" tooltip="Ver solicitud de Beneficiarios..."/>
          <a:extLst>
            <a:ext uri="{FF2B5EF4-FFF2-40B4-BE49-F238E27FC236}">
              <a16:creationId xmlns:a16="http://schemas.microsoft.com/office/drawing/2014/main" id="{00000000-0008-0000-1400-000016000000}"/>
            </a:ext>
          </a:extLst>
        </xdr:cNvPr>
        <xdr:cNvSpPr txBox="1"/>
      </xdr:nvSpPr>
      <xdr:spPr bwMode="auto">
        <a:xfrm>
          <a:off x="2095500" y="57150"/>
          <a:ext cx="158400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VE" sz="1200" b="1" u="none">
              <a:ln>
                <a:noFill/>
              </a:ln>
              <a:solidFill>
                <a:schemeClr val="bg1">
                  <a:lumMod val="95000"/>
                </a:schemeClr>
              </a:solidFill>
              <a:effectLst>
                <a:glow rad="228600">
                  <a:schemeClr val="bg1">
                    <a:lumMod val="6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Beneficiarios de Pago</a:t>
          </a:r>
        </a:p>
      </xdr:txBody>
    </xdr:sp>
    <xdr:clientData/>
  </xdr:twoCellAnchor>
  <xdr:twoCellAnchor>
    <xdr:from>
      <xdr:col>2</xdr:col>
      <xdr:colOff>3924300</xdr:colOff>
      <xdr:row>0</xdr:row>
      <xdr:rowOff>57150</xdr:rowOff>
    </xdr:from>
    <xdr:to>
      <xdr:col>3</xdr:col>
      <xdr:colOff>457199</xdr:colOff>
      <xdr:row>1</xdr:row>
      <xdr:rowOff>123825</xdr:rowOff>
    </xdr:to>
    <xdr:sp macro="" textlink="">
      <xdr:nvSpPr>
        <xdr:cNvPr id="9" name="8 CuadroTexto">
          <a:hlinkClick xmlns:r="http://schemas.openxmlformats.org/officeDocument/2006/relationships" r:id="rId4" tooltip="Ver formato de Archivo..."/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SpPr txBox="1"/>
      </xdr:nvSpPr>
      <xdr:spPr bwMode="auto">
        <a:xfrm>
          <a:off x="5324475" y="57150"/>
          <a:ext cx="1514474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VE" sz="1200" b="1" u="none">
              <a:ln>
                <a:noFill/>
              </a:ln>
              <a:solidFill>
                <a:schemeClr val="bg1">
                  <a:lumMod val="95000"/>
                </a:schemeClr>
              </a:solidFill>
              <a:effectLst>
                <a:glow rad="228600">
                  <a:schemeClr val="bg1">
                    <a:lumMod val="6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Formato de Archivo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466725</xdr:colOff>
      <xdr:row>68</xdr:row>
      <xdr:rowOff>0</xdr:rowOff>
    </xdr:from>
    <xdr:to>
      <xdr:col>5</xdr:col>
      <xdr:colOff>542925</xdr:colOff>
      <xdr:row>69</xdr:row>
      <xdr:rowOff>0</xdr:rowOff>
    </xdr:to>
    <xdr:sp macro="" textlink="">
      <xdr:nvSpPr>
        <xdr:cNvPr id="179723" name="Text Box 4">
          <a:extLst>
            <a:ext uri="{FF2B5EF4-FFF2-40B4-BE49-F238E27FC236}">
              <a16:creationId xmlns:a16="http://schemas.microsoft.com/office/drawing/2014/main" id="{00000000-0008-0000-1600-00000BBE0200}"/>
            </a:ext>
          </a:extLst>
        </xdr:cNvPr>
        <xdr:cNvSpPr txBox="1">
          <a:spLocks noChangeArrowheads="1"/>
        </xdr:cNvSpPr>
      </xdr:nvSpPr>
      <xdr:spPr bwMode="auto">
        <a:xfrm>
          <a:off x="4810125" y="19526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466725</xdr:colOff>
      <xdr:row>68</xdr:row>
      <xdr:rowOff>0</xdr:rowOff>
    </xdr:from>
    <xdr:to>
      <xdr:col>5</xdr:col>
      <xdr:colOff>542925</xdr:colOff>
      <xdr:row>69</xdr:row>
      <xdr:rowOff>38100</xdr:rowOff>
    </xdr:to>
    <xdr:sp macro="" textlink="">
      <xdr:nvSpPr>
        <xdr:cNvPr id="179724" name="Text Box 3">
          <a:extLst>
            <a:ext uri="{FF2B5EF4-FFF2-40B4-BE49-F238E27FC236}">
              <a16:creationId xmlns:a16="http://schemas.microsoft.com/office/drawing/2014/main" id="{00000000-0008-0000-1600-00000CBE0200}"/>
            </a:ext>
          </a:extLst>
        </xdr:cNvPr>
        <xdr:cNvSpPr txBox="1">
          <a:spLocks noChangeArrowheads="1"/>
        </xdr:cNvSpPr>
      </xdr:nvSpPr>
      <xdr:spPr bwMode="auto">
        <a:xfrm>
          <a:off x="4810125" y="19526250"/>
          <a:ext cx="762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466725</xdr:colOff>
      <xdr:row>77</xdr:row>
      <xdr:rowOff>19050</xdr:rowOff>
    </xdr:from>
    <xdr:to>
      <xdr:col>5</xdr:col>
      <xdr:colOff>542925</xdr:colOff>
      <xdr:row>78</xdr:row>
      <xdr:rowOff>47625</xdr:rowOff>
    </xdr:to>
    <xdr:sp macro="" textlink="">
      <xdr:nvSpPr>
        <xdr:cNvPr id="179725" name="Text Box 3">
          <a:extLst>
            <a:ext uri="{FF2B5EF4-FFF2-40B4-BE49-F238E27FC236}">
              <a16:creationId xmlns:a16="http://schemas.microsoft.com/office/drawing/2014/main" id="{00000000-0008-0000-1600-00000DBE0200}"/>
            </a:ext>
          </a:extLst>
        </xdr:cNvPr>
        <xdr:cNvSpPr txBox="1">
          <a:spLocks noChangeArrowheads="1"/>
        </xdr:cNvSpPr>
      </xdr:nvSpPr>
      <xdr:spPr bwMode="auto">
        <a:xfrm>
          <a:off x="4810125" y="21336000"/>
          <a:ext cx="7620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123825</xdr:colOff>
          <xdr:row>18</xdr:row>
          <xdr:rowOff>276225</xdr:rowOff>
        </xdr:from>
        <xdr:to>
          <xdr:col>44</xdr:col>
          <xdr:colOff>390525</xdr:colOff>
          <xdr:row>20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VE" sz="1000" b="1" i="0" u="none" strike="noStrike" baseline="0">
                  <a:solidFill>
                    <a:srgbClr val="333399"/>
                  </a:solidFill>
                  <a:latin typeface="Century Gothic"/>
                </a:rPr>
                <a:t>Regresar al Menú Principal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10</xdr:col>
      <xdr:colOff>66675</xdr:colOff>
      <xdr:row>3</xdr:row>
      <xdr:rowOff>76200</xdr:rowOff>
    </xdr:to>
    <xdr:grpSp>
      <xdr:nvGrpSpPr>
        <xdr:cNvPr id="179726" name="27 Grupo">
          <a:extLst>
            <a:ext uri="{FF2B5EF4-FFF2-40B4-BE49-F238E27FC236}">
              <a16:creationId xmlns:a16="http://schemas.microsoft.com/office/drawing/2014/main" id="{00000000-0008-0000-1600-00000EBE0200}"/>
            </a:ext>
          </a:extLst>
        </xdr:cNvPr>
        <xdr:cNvGrpSpPr>
          <a:grpSpLocks/>
        </xdr:cNvGrpSpPr>
      </xdr:nvGrpSpPr>
      <xdr:grpSpPr bwMode="auto">
        <a:xfrm>
          <a:off x="0" y="0"/>
          <a:ext cx="8896350" cy="361950"/>
          <a:chOff x="647701" y="2219327"/>
          <a:chExt cx="8642086" cy="419201"/>
        </a:xfrm>
      </xdr:grpSpPr>
      <xdr:pic macro="[0]!CerrarFormulario">
        <xdr:nvPicPr>
          <xdr:cNvPr id="8" name="7 Imagen">
            <a:extLst>
              <a:ext uri="{FF2B5EF4-FFF2-40B4-BE49-F238E27FC236}">
                <a16:creationId xmlns:a16="http://schemas.microsoft.com/office/drawing/2014/main" id="{00000000-0008-0000-1600-00000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65378" t="48218" r="17143" b="46556"/>
          <a:stretch/>
        </xdr:blipFill>
        <xdr:spPr>
          <a:xfrm>
            <a:off x="8501575" y="2219328"/>
            <a:ext cx="788212" cy="411789"/>
          </a:xfrm>
          <a:prstGeom prst="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</xdr:pic>
      <xdr:pic macro="[0]!Form_Help">
        <xdr:nvPicPr>
          <xdr:cNvPr id="9" name="8 Imagen">
            <a:extLst>
              <a:ext uri="{FF2B5EF4-FFF2-40B4-BE49-F238E27FC236}">
                <a16:creationId xmlns:a16="http://schemas.microsoft.com/office/drawing/2014/main" id="{00000000-0008-0000-1600-000009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235" t="48218" r="74622" b="46556"/>
          <a:stretch/>
        </xdr:blipFill>
        <xdr:spPr>
          <a:xfrm>
            <a:off x="647701" y="2219327"/>
            <a:ext cx="786970" cy="419201"/>
          </a:xfrm>
          <a:prstGeom prst="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</xdr:pic>
      <xdr:pic>
        <xdr:nvPicPr>
          <xdr:cNvPr id="10" name="9 Imagen">
            <a:extLst>
              <a:ext uri="{FF2B5EF4-FFF2-40B4-BE49-F238E27FC236}">
                <a16:creationId xmlns:a16="http://schemas.microsoft.com/office/drawing/2014/main" id="{00000000-0008-0000-1600-00000A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0253" t="33492" r="8067" b="61401"/>
          <a:stretch/>
        </xdr:blipFill>
        <xdr:spPr>
          <a:xfrm>
            <a:off x="1790700" y="2224089"/>
            <a:ext cx="6309798" cy="409575"/>
          </a:xfrm>
          <a:prstGeom prst="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</xdr:pic>
      <xdr:cxnSp macro="">
        <xdr:nvCxnSpPr>
          <xdr:cNvPr id="11" name="10 Conector recto">
            <a:extLst>
              <a:ext uri="{FF2B5EF4-FFF2-40B4-BE49-F238E27FC236}">
                <a16:creationId xmlns:a16="http://schemas.microsoft.com/office/drawing/2014/main" id="{00000000-0008-0000-1600-00000B000000}"/>
              </a:ext>
            </a:extLst>
          </xdr:cNvPr>
          <xdr:cNvCxnSpPr/>
        </xdr:nvCxnSpPr>
        <xdr:spPr>
          <a:xfrm flipV="1">
            <a:off x="4284039" y="2340675"/>
            <a:ext cx="0" cy="220632"/>
          </a:xfrm>
          <a:prstGeom prst="line">
            <a:avLst/>
          </a:prstGeom>
          <a:ln w="1270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 fPrintsWithSheet="0"/>
  </xdr:twoCellAnchor>
  <xdr:twoCellAnchor>
    <xdr:from>
      <xdr:col>6</xdr:col>
      <xdr:colOff>190500</xdr:colOff>
      <xdr:row>1</xdr:row>
      <xdr:rowOff>0</xdr:rowOff>
    </xdr:from>
    <xdr:to>
      <xdr:col>6</xdr:col>
      <xdr:colOff>190500</xdr:colOff>
      <xdr:row>3</xdr:row>
      <xdr:rowOff>0</xdr:rowOff>
    </xdr:to>
    <xdr:cxnSp macro="">
      <xdr:nvCxnSpPr>
        <xdr:cNvPr id="12" name="11 Conector recto">
          <a:extLst>
            <a:ext uri="{FF2B5EF4-FFF2-40B4-BE49-F238E27FC236}">
              <a16:creationId xmlns:a16="http://schemas.microsoft.com/office/drawing/2014/main" id="{00000000-0008-0000-1600-00000C000000}"/>
            </a:ext>
          </a:extLst>
        </xdr:cNvPr>
        <xdr:cNvCxnSpPr/>
      </xdr:nvCxnSpPr>
      <xdr:spPr bwMode="auto">
        <a:xfrm flipV="1">
          <a:off x="5210175" y="95250"/>
          <a:ext cx="0" cy="1905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304800</xdr:colOff>
      <xdr:row>0</xdr:row>
      <xdr:rowOff>57150</xdr:rowOff>
    </xdr:from>
    <xdr:to>
      <xdr:col>6</xdr:col>
      <xdr:colOff>1819274</xdr:colOff>
      <xdr:row>3</xdr:row>
      <xdr:rowOff>47625</xdr:rowOff>
    </xdr:to>
    <xdr:sp macro="" textlink="">
      <xdr:nvSpPr>
        <xdr:cNvPr id="14" name="13 CuadroTexto">
          <a:extLst>
            <a:ext uri="{FF2B5EF4-FFF2-40B4-BE49-F238E27FC236}">
              <a16:creationId xmlns:a16="http://schemas.microsoft.com/office/drawing/2014/main" id="{00000000-0008-0000-1600-00000E000000}"/>
            </a:ext>
          </a:extLst>
        </xdr:cNvPr>
        <xdr:cNvSpPr txBox="1"/>
      </xdr:nvSpPr>
      <xdr:spPr bwMode="auto">
        <a:xfrm>
          <a:off x="5324475" y="57150"/>
          <a:ext cx="1514474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VE" sz="1200" b="1" u="sng">
              <a:ln>
                <a:noFill/>
              </a:ln>
              <a:solidFill>
                <a:schemeClr val="bg1"/>
              </a:solidFill>
              <a:effectLst>
                <a:glow rad="228600">
                  <a:schemeClr val="accent3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Formato de Archivo</a:t>
          </a:r>
        </a:p>
      </xdr:txBody>
    </xdr:sp>
    <xdr:clientData/>
  </xdr:twoCellAnchor>
  <xdr:twoCellAnchor>
    <xdr:from>
      <xdr:col>4</xdr:col>
      <xdr:colOff>857250</xdr:colOff>
      <xdr:row>0</xdr:row>
      <xdr:rowOff>57150</xdr:rowOff>
    </xdr:from>
    <xdr:to>
      <xdr:col>5</xdr:col>
      <xdr:colOff>638175</xdr:colOff>
      <xdr:row>3</xdr:row>
      <xdr:rowOff>47625</xdr:rowOff>
    </xdr:to>
    <xdr:sp macro="" textlink="">
      <xdr:nvSpPr>
        <xdr:cNvPr id="15" name="14 CuadroTexto">
          <a:hlinkClick xmlns:r="http://schemas.openxmlformats.org/officeDocument/2006/relationships" r:id="rId3" tooltip="Ver listado de códigos de Bancos..."/>
          <a:extLst>
            <a:ext uri="{FF2B5EF4-FFF2-40B4-BE49-F238E27FC236}">
              <a16:creationId xmlns:a16="http://schemas.microsoft.com/office/drawing/2014/main" id="{00000000-0008-0000-1600-00000F000000}"/>
            </a:ext>
          </a:extLst>
        </xdr:cNvPr>
        <xdr:cNvSpPr txBox="1"/>
      </xdr:nvSpPr>
      <xdr:spPr bwMode="auto">
        <a:xfrm>
          <a:off x="4010025" y="5715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VE" sz="1200" b="1" u="none">
              <a:ln>
                <a:noFill/>
              </a:ln>
              <a:solidFill>
                <a:schemeClr val="bg1">
                  <a:lumMod val="95000"/>
                </a:schemeClr>
              </a:solidFill>
              <a:effectLst>
                <a:glow rad="228600">
                  <a:schemeClr val="bg1">
                    <a:lumMod val="65000"/>
                    <a:alpha val="40000"/>
                  </a:schemeClr>
                </a:glow>
              </a:effectLst>
            </a:rPr>
            <a:t>Cod.</a:t>
          </a:r>
          <a:r>
            <a:rPr lang="es-VE" sz="1200" b="1" u="none" baseline="0">
              <a:ln>
                <a:noFill/>
              </a:ln>
              <a:solidFill>
                <a:schemeClr val="bg1">
                  <a:lumMod val="95000"/>
                </a:schemeClr>
              </a:solidFill>
              <a:effectLst>
                <a:glow rad="228600">
                  <a:schemeClr val="bg1">
                    <a:lumMod val="65000"/>
                    <a:alpha val="40000"/>
                  </a:schemeClr>
                </a:glow>
              </a:effectLst>
            </a:rPr>
            <a:t> Bancos</a:t>
          </a:r>
          <a:endParaRPr lang="es-VE" sz="1200" b="1" u="none">
            <a:ln>
              <a:noFill/>
            </a:ln>
            <a:solidFill>
              <a:schemeClr val="bg1">
                <a:lumMod val="95000"/>
              </a:schemeClr>
            </a:solidFill>
            <a:effectLst>
              <a:glow rad="228600">
                <a:schemeClr val="bg1">
                  <a:lumMod val="6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2</xdr:col>
      <xdr:colOff>161925</xdr:colOff>
      <xdr:row>0</xdr:row>
      <xdr:rowOff>57150</xdr:rowOff>
    </xdr:from>
    <xdr:to>
      <xdr:col>4</xdr:col>
      <xdr:colOff>526725</xdr:colOff>
      <xdr:row>3</xdr:row>
      <xdr:rowOff>47625</xdr:rowOff>
    </xdr:to>
    <xdr:sp macro="" textlink="">
      <xdr:nvSpPr>
        <xdr:cNvPr id="16" name="15 CuadroTexto">
          <a:hlinkClick xmlns:r="http://schemas.openxmlformats.org/officeDocument/2006/relationships" r:id="rId4" tooltip="Ver solicitud de Beneficiarios..."/>
          <a:extLst>
            <a:ext uri="{FF2B5EF4-FFF2-40B4-BE49-F238E27FC236}">
              <a16:creationId xmlns:a16="http://schemas.microsoft.com/office/drawing/2014/main" id="{00000000-0008-0000-1600-000010000000}"/>
            </a:ext>
          </a:extLst>
        </xdr:cNvPr>
        <xdr:cNvSpPr txBox="1"/>
      </xdr:nvSpPr>
      <xdr:spPr bwMode="auto">
        <a:xfrm>
          <a:off x="2095500" y="57150"/>
          <a:ext cx="158400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VE" sz="1200" b="1" u="none">
              <a:ln>
                <a:noFill/>
              </a:ln>
              <a:solidFill>
                <a:schemeClr val="bg1">
                  <a:lumMod val="95000"/>
                </a:schemeClr>
              </a:solidFill>
              <a:effectLst>
                <a:glow rad="228600">
                  <a:schemeClr val="bg1">
                    <a:lumMod val="6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Beneficiarios de Pago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cbriceno/Desktop/EN-CP-E-0036_SOLICITUD_MASIVA_DE_ORDENES_DE_PAGOS%20publicado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bodapps123/Formulario/Vp.%20Contabilidad/Administraci&#243;n%20Fiscal/AF-CG-P-0013%20NOTA%20DE%20ENTERAMIENTO%20RECAUDACI&#211;N%20DE%20TRIBUTO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Macro9"/>
      <sheetName val="Macro8"/>
      <sheetName val="Macro7"/>
      <sheetName val="Macro6"/>
      <sheetName val="Macro5"/>
      <sheetName val="Macro4"/>
      <sheetName val="Macro3"/>
      <sheetName val="Macro2"/>
      <sheetName val="Macro1"/>
      <sheetName val="Ordenes de Pago"/>
      <sheetName val="Resp_Ordenes de Pago"/>
      <sheetName val="Beneficiarios de Pago"/>
      <sheetName val="Resp_Beneficiarios de Pago"/>
      <sheetName val="Hoja2"/>
      <sheetName val="Ayuda"/>
      <sheetName val="Ayuda_Benef"/>
      <sheetName val="BANCOS"/>
      <sheetName val="Macros"/>
      <sheetName val="EN-CP-E-0036_SOLICITUD_MASIVA_D"/>
    </sheetNames>
    <definedNames>
      <definedName name="CommandButton2_Click"/>
      <definedName name="R_Beneficiarios_Click"/>
      <definedName name="R_Pago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3">
          <cell r="A3" t="str">
            <v>V</v>
          </cell>
          <cell r="C3" t="str">
            <v>CTA</v>
          </cell>
          <cell r="E3" t="str">
            <v>CTA</v>
          </cell>
          <cell r="I3" t="str">
            <v>Nómina</v>
          </cell>
          <cell r="L3" t="str">
            <v>R</v>
          </cell>
          <cell r="N3" t="str">
            <v>ACTIVO</v>
          </cell>
        </row>
        <row r="4">
          <cell r="A4" t="str">
            <v>E</v>
          </cell>
          <cell r="C4" t="str">
            <v>BAN</v>
          </cell>
          <cell r="E4" t="str">
            <v>BAN</v>
          </cell>
          <cell r="I4" t="str">
            <v>Proveedores</v>
          </cell>
          <cell r="L4" t="str">
            <v>J</v>
          </cell>
          <cell r="N4" t="str">
            <v>INACTIVO</v>
          </cell>
        </row>
        <row r="5">
          <cell r="A5" t="str">
            <v>P</v>
          </cell>
          <cell r="C5" t="str">
            <v>CHQ</v>
          </cell>
          <cell r="E5" t="str">
            <v>CHQ</v>
          </cell>
          <cell r="L5" t="str">
            <v>G</v>
          </cell>
        </row>
        <row r="6">
          <cell r="A6" t="str">
            <v>R</v>
          </cell>
          <cell r="C6" t="str">
            <v>EFE</v>
          </cell>
          <cell r="E6" t="str">
            <v>EFE</v>
          </cell>
        </row>
        <row r="7">
          <cell r="A7" t="str">
            <v>J</v>
          </cell>
          <cell r="C7" t="str">
            <v>TAR</v>
          </cell>
          <cell r="E7" t="str">
            <v>TAR</v>
          </cell>
        </row>
        <row r="8">
          <cell r="A8" t="str">
            <v>G</v>
          </cell>
          <cell r="C8" t="str">
            <v>AME</v>
          </cell>
          <cell r="E8" t="str">
            <v>V/M</v>
          </cell>
        </row>
        <row r="9">
          <cell r="C9" t="str">
            <v>V/M</v>
          </cell>
        </row>
      </sheetData>
      <sheetData sheetId="15"/>
      <sheetData sheetId="16"/>
      <sheetData sheetId="17">
        <row r="5">
          <cell r="A5" t="str">
            <v>0001</v>
          </cell>
        </row>
        <row r="6">
          <cell r="A6" t="str">
            <v>0003</v>
          </cell>
        </row>
        <row r="7">
          <cell r="A7" t="str">
            <v>0008</v>
          </cell>
        </row>
        <row r="8">
          <cell r="A8" t="str">
            <v>0102</v>
          </cell>
        </row>
        <row r="9">
          <cell r="A9" t="str">
            <v>0104</v>
          </cell>
        </row>
        <row r="10">
          <cell r="A10" t="str">
            <v>0105</v>
          </cell>
        </row>
        <row r="11">
          <cell r="A11" t="str">
            <v>0108</v>
          </cell>
        </row>
        <row r="12">
          <cell r="A12" t="str">
            <v>0114</v>
          </cell>
        </row>
        <row r="13">
          <cell r="A13" t="str">
            <v>0115</v>
          </cell>
        </row>
        <row r="14">
          <cell r="A14" t="str">
            <v>0116</v>
          </cell>
        </row>
        <row r="15">
          <cell r="A15" t="str">
            <v>0121</v>
          </cell>
        </row>
        <row r="16">
          <cell r="A16" t="str">
            <v>0128</v>
          </cell>
        </row>
        <row r="17">
          <cell r="A17" t="str">
            <v>0134</v>
          </cell>
        </row>
        <row r="18">
          <cell r="A18" t="str">
            <v>0137</v>
          </cell>
        </row>
        <row r="19">
          <cell r="A19" t="str">
            <v>0138</v>
          </cell>
        </row>
        <row r="20">
          <cell r="A20" t="str">
            <v>0146</v>
          </cell>
        </row>
        <row r="21">
          <cell r="A21" t="str">
            <v>0149</v>
          </cell>
        </row>
        <row r="22">
          <cell r="A22" t="str">
            <v>0151</v>
          </cell>
        </row>
        <row r="23">
          <cell r="A23" t="str">
            <v>0156</v>
          </cell>
        </row>
        <row r="24">
          <cell r="A24" t="str">
            <v>0157</v>
          </cell>
        </row>
        <row r="25">
          <cell r="A25" t="str">
            <v>0163</v>
          </cell>
        </row>
        <row r="26">
          <cell r="A26" t="str">
            <v>0166</v>
          </cell>
        </row>
        <row r="27">
          <cell r="A27" t="str">
            <v>0168</v>
          </cell>
        </row>
        <row r="28">
          <cell r="A28" t="str">
            <v>0169</v>
          </cell>
        </row>
        <row r="29">
          <cell r="A29" t="str">
            <v>0171</v>
          </cell>
        </row>
        <row r="30">
          <cell r="A30" t="str">
            <v>0173</v>
          </cell>
        </row>
        <row r="31">
          <cell r="A31" t="str">
            <v>0174</v>
          </cell>
        </row>
        <row r="32">
          <cell r="A32" t="str">
            <v>0175</v>
          </cell>
        </row>
        <row r="33">
          <cell r="A33" t="str">
            <v>0190</v>
          </cell>
        </row>
        <row r="34">
          <cell r="A34" t="str">
            <v>0191</v>
          </cell>
        </row>
        <row r="35">
          <cell r="A35" t="str">
            <v>0601</v>
          </cell>
        </row>
      </sheetData>
      <sheetData sheetId="18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yuda"/>
      <sheetName val="Menú"/>
      <sheetName val="NOTA BCV-TAQUILLA"/>
      <sheetName val="NOTA BCV-INTERNET"/>
      <sheetName val="NOTA SENIAT-TAQUILLA"/>
      <sheetName val="NOTA SENIAT-INTERNET"/>
      <sheetName val="DESTINATARIO"/>
      <sheetName val="Sobre el formulario"/>
      <sheetName val="AF-CG-P-0013 NOTA DE ENTERAMI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2">
          <cell r="I2" t="str">
            <v>BANCO CENTRAL DE VENEZUELA</v>
          </cell>
        </row>
        <row r="3">
          <cell r="I3" t="str">
            <v>SENIAT</v>
          </cell>
        </row>
      </sheetData>
      <sheetData sheetId="7" refreshError="1"/>
      <sheetData sheetId="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 refreshError="1"/>
    </sheetDataSet>
  </externalBook>
</externalLink>
</file>

<file path=xl/macro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macro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macro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macro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macro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macro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macro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macro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macro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000-000000000000}">
  <dimension ref="A1"/>
  <sheetViews>
    <sheetView showFormulas="1" workbookViewId="0">
      <selection activeCell="A10" sqref="A10:C10"/>
    </sheetView>
  </sheetViews>
  <sheetFormatPr baseColWidth="10" defaultColWidth="9.140625" defaultRowHeight="15" x14ac:dyDescent="0.25"/>
  <cols>
    <col min="1" max="256" width="11.42578125" customWidth="1"/>
  </cols>
  <sheetData/>
  <phoneticPr fontId="13" type="noConversion"/>
  <pageMargins left="0.7" right="0.7" top="0.75" bottom="0.75" header="0.3" footer="0.3"/>
  <pageSetup orientation="portrait" verticalDpi="1200" r:id="rId1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100-000000000000}">
  <dimension ref="A1"/>
  <sheetViews>
    <sheetView showFormulas="1" workbookViewId="0">
      <selection activeCell="A10" sqref="A10:C10"/>
    </sheetView>
  </sheetViews>
  <sheetFormatPr baseColWidth="10" defaultColWidth="9.140625" defaultRowHeight="15" x14ac:dyDescent="0.25"/>
  <cols>
    <col min="1" max="256" width="11.42578125" customWidth="1"/>
  </cols>
  <sheetData/>
  <phoneticPr fontId="13" type="noConversion"/>
  <pageMargins left="0.7" right="0.7" top="0.75" bottom="0.75" header="0.3" footer="0.3"/>
  <pageSetup orientation="portrait" verticalDpi="1200" r:id="rId1"/>
</xm:macrosheet>
</file>

<file path=xl/macrosheets/sheet3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200-000000000000}">
  <dimension ref="A1"/>
  <sheetViews>
    <sheetView showFormulas="1" workbookViewId="0">
      <selection activeCell="A10" sqref="A10:C10"/>
    </sheetView>
  </sheetViews>
  <sheetFormatPr baseColWidth="10" defaultColWidth="9.140625" defaultRowHeight="15" x14ac:dyDescent="0.25"/>
  <cols>
    <col min="1" max="256" width="11.42578125" customWidth="1"/>
  </cols>
  <sheetData/>
  <phoneticPr fontId="13" type="noConversion"/>
  <pageMargins left="0.7" right="0.7" top="0.75" bottom="0.75" header="0.3" footer="0.3"/>
  <pageSetup orientation="portrait" verticalDpi="1200" r:id="rId1"/>
</xm:macrosheet>
</file>

<file path=xl/macrosheets/sheet4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300-000000000000}">
  <dimension ref="A1"/>
  <sheetViews>
    <sheetView showFormulas="1" workbookViewId="0">
      <selection activeCell="A10" sqref="A10:C10"/>
    </sheetView>
  </sheetViews>
  <sheetFormatPr baseColWidth="10" defaultColWidth="9.140625" defaultRowHeight="15" x14ac:dyDescent="0.25"/>
  <cols>
    <col min="1" max="256" width="11.42578125" customWidth="1"/>
  </cols>
  <sheetData/>
  <phoneticPr fontId="13" type="noConversion"/>
  <pageMargins left="0.7" right="0.7" top="0.75" bottom="0.75" header="0.3" footer="0.3"/>
  <pageSetup orientation="portrait" verticalDpi="1200" r:id="rId1"/>
</xm:macrosheet>
</file>

<file path=xl/macrosheets/sheet5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400-000000000000}">
  <dimension ref="A1"/>
  <sheetViews>
    <sheetView showFormulas="1" workbookViewId="0">
      <selection activeCell="A10" sqref="A10:C10"/>
    </sheetView>
  </sheetViews>
  <sheetFormatPr baseColWidth="10" defaultColWidth="9.140625" defaultRowHeight="15" x14ac:dyDescent="0.25"/>
  <cols>
    <col min="1" max="256" width="11.42578125" customWidth="1"/>
  </cols>
  <sheetData/>
  <phoneticPr fontId="13" type="noConversion"/>
  <pageMargins left="0.7" right="0.7" top="0.75" bottom="0.75" header="0.3" footer="0.3"/>
  <pageSetup orientation="portrait" verticalDpi="1200" r:id="rId1"/>
</xm:macrosheet>
</file>

<file path=xl/macrosheets/sheet6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500-000000000000}">
  <dimension ref="A1"/>
  <sheetViews>
    <sheetView showFormulas="1" workbookViewId="0">
      <selection activeCell="A10" sqref="A10:C10"/>
    </sheetView>
  </sheetViews>
  <sheetFormatPr baseColWidth="10" defaultColWidth="9.140625" defaultRowHeight="15" x14ac:dyDescent="0.25"/>
  <cols>
    <col min="1" max="256" width="11.42578125" customWidth="1"/>
  </cols>
  <sheetData/>
  <phoneticPr fontId="13" type="noConversion"/>
  <pageMargins left="0.7" right="0.7" top="0.75" bottom="0.75" header="0.3" footer="0.3"/>
  <pageSetup orientation="portrait" verticalDpi="1200" r:id="rId1"/>
</xm:macrosheet>
</file>

<file path=xl/macrosheets/sheet7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600-000000000000}">
  <dimension ref="A1"/>
  <sheetViews>
    <sheetView showFormulas="1" workbookViewId="0">
      <selection activeCell="C35" sqref="C35"/>
    </sheetView>
  </sheetViews>
  <sheetFormatPr baseColWidth="10" defaultColWidth="9.140625" defaultRowHeight="15" x14ac:dyDescent="0.25"/>
  <cols>
    <col min="1" max="256" width="11.42578125" customWidth="1"/>
  </cols>
  <sheetData/>
  <phoneticPr fontId="13" type="noConversion"/>
  <pageMargins left="0.7" right="0.7" top="0.75" bottom="0.75" header="0.3" footer="0.3"/>
  <pageSetup orientation="portrait" verticalDpi="1200" r:id="rId1"/>
</xm:macrosheet>
</file>

<file path=xl/macrosheets/sheet8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700-000000000000}">
  <dimension ref="A1"/>
  <sheetViews>
    <sheetView showFormulas="1" workbookViewId="0">
      <selection activeCell="A10" sqref="A10:C10"/>
    </sheetView>
  </sheetViews>
  <sheetFormatPr baseColWidth="10" defaultColWidth="9.140625" defaultRowHeight="15" x14ac:dyDescent="0.25"/>
  <cols>
    <col min="1" max="256" width="11.42578125" customWidth="1"/>
  </cols>
  <sheetData/>
  <phoneticPr fontId="13" type="noConversion"/>
  <pageMargins left="0.7" right="0.7" top="0.75" bottom="0.75" header="0.3" footer="0.3"/>
  <pageSetup orientation="portrait" verticalDpi="1200" r:id="rId1"/>
</xm:macrosheet>
</file>

<file path=xl/macrosheets/sheet9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800-000000000000}">
  <dimension ref="A1"/>
  <sheetViews>
    <sheetView showFormulas="1" workbookViewId="0">
      <selection activeCell="A10" sqref="A10:C10"/>
    </sheetView>
  </sheetViews>
  <sheetFormatPr baseColWidth="10" defaultColWidth="9.140625" defaultRowHeight="15" x14ac:dyDescent="0.25"/>
  <cols>
    <col min="1" max="256" width="11.42578125" customWidth="1"/>
  </cols>
  <sheetData/>
  <phoneticPr fontId="13" type="noConversion"/>
  <pageMargins left="0.7" right="0.7" top="0.75" bottom="0.75" header="0.3" footer="0.3"/>
  <pageSetup orientation="portrait" verticalDpi="1200" r:id="rId1"/>
</xm:macro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2:W33" insertRowShift="1" totalsRowShown="0" headerRowDxfId="57" headerRowBorderDxfId="56" totalsRowBorderDxfId="55">
  <autoFilter ref="A12:W33" xr:uid="{00000000-0009-0000-0100-000002000000}"/>
  <tableColumns count="23">
    <tableColumn id="1" xr3:uid="{00000000-0010-0000-0000-000001000000}" name="TIPO PERS.:" dataDxfId="54"/>
    <tableColumn id="2" xr3:uid="{00000000-0010-0000-0000-000002000000}" name="C.I. / R.I.F N°:" dataDxfId="53"/>
    <tableColumn id="3" xr3:uid="{00000000-0010-0000-0000-000003000000}" name="NOMBRE COMPLETO / RAZÓN SOCIAL:" dataDxfId="52"/>
    <tableColumn id="4" xr3:uid="{00000000-0010-0000-0000-000004000000}" name="REFERENCIA:" dataDxfId="51"/>
    <tableColumn id="5" xr3:uid="{00000000-0010-0000-0000-000005000000}" name="DESCRIPCIÓN:" dataDxfId="50"/>
    <tableColumn id="6" xr3:uid="{00000000-0010-0000-0000-000006000000}" name="MODALIDAD DE PAGO:" dataDxfId="49"/>
    <tableColumn id="7" xr3:uid="{00000000-0010-0000-0000-000007000000}" name="CUENTA A ACREDITAR / N° DE TARJETA:" dataDxfId="48"/>
    <tableColumn id="8" xr3:uid="{00000000-0010-0000-0000-000008000000}" name="CÓD. BANCO:" dataDxfId="47">
      <calculatedColumnFormula>IF(G13="","",IF(ISERROR(VLOOKUP(MID(G13,1,4),Bancos,1,FALSE)),"",VLOOKUP(MID(G13,1,4),Bancos,1,FALSE)))</calculatedColumnFormula>
    </tableColumn>
    <tableColumn id="9" xr3:uid="{00000000-0010-0000-0000-000009000000}" name="FECHA VALOR:" dataDxfId="46"/>
    <tableColumn id="10" xr3:uid="{00000000-0010-0000-0000-00000A000000}" name="FECHA VALOR (SIST.):" dataDxfId="45"/>
    <tableColumn id="11" xr3:uid="{00000000-0010-0000-0000-00000B000000}" name=" MONTO:" dataDxfId="44"/>
    <tableColumn id="12" xr3:uid="{00000000-0010-0000-0000-00000C000000}" name="IMPUESTO RETENIDO:" dataDxfId="43"/>
    <tableColumn id="13" xr3:uid="{00000000-0010-0000-0000-00000D000000}" name="CORREO ELECTRÓNICO:" dataDxfId="42" dataCellStyle="Euro"/>
    <tableColumn id="14" xr3:uid="{00000000-0010-0000-0000-00000E000000}" name="N° DE TELEF. CELULAR:" dataDxfId="41"/>
    <tableColumn id="15" xr3:uid="{00000000-0010-0000-0000-00000F000000}" name="N° VOLANTE" dataDxfId="40"/>
    <tableColumn id="16" xr3:uid="{00000000-0010-0000-0000-000010000000}" name="COD RESPUESTA" dataDxfId="39"/>
    <tableColumn id="17" xr3:uid="{00000000-0010-0000-0000-000011000000}" name="DESCRIPCION" dataDxfId="38"/>
    <tableColumn id="18" xr3:uid="{00000000-0010-0000-0000-000012000000}" name="COD ERROR" dataDxfId="37"/>
    <tableColumn id="19" xr3:uid="{00000000-0010-0000-0000-000013000000}" name="DESCRIPCION ERROR" dataDxfId="36"/>
    <tableColumn id="20" xr3:uid="{00000000-0010-0000-0000-000014000000}" name="N° DE FACTURA ASOCIADO:" dataDxfId="35"/>
    <tableColumn id="21" xr3:uid="{00000000-0010-0000-0000-000015000000}" name="MONTO DE LA FACTURA:" dataDxfId="34"/>
    <tableColumn id="22" xr3:uid="{00000000-0010-0000-0000-000016000000}" name="FECHA DE FACTURA:" dataDxfId="33"/>
    <tableColumn id="24" xr3:uid="{00000000-0010-0000-0000-000018000000}" name="IMPUESTO RETENIDO:2" dataDxfId="32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a4" displayName="Tabla4" ref="A9:V32" insertRowShift="1" totalsRowShown="0" headerRowDxfId="23" headerRowBorderDxfId="22">
  <autoFilter ref="A9:V32" xr:uid="{00000000-0009-0000-0100-000004000000}"/>
  <tableColumns count="22">
    <tableColumn id="1" xr3:uid="{00000000-0010-0000-0100-000001000000}" name="TIPO DE REGISTRO:" dataDxfId="21"/>
    <tableColumn id="2" xr3:uid="{00000000-0010-0000-0100-000002000000}" name="NÚMERO DE CONTRATO:" dataDxfId="20"/>
    <tableColumn id="3" xr3:uid="{00000000-0010-0000-0100-000003000000}" name="TIPO DE PERSONA:" dataDxfId="19"/>
    <tableColumn id="4" xr3:uid="{00000000-0010-0000-0100-000004000000}" name="C.I. / R.I.F. N°:" dataDxfId="18"/>
    <tableColumn id="5" xr3:uid="{00000000-0010-0000-0100-000005000000}" name="NOMBRE COMPLETO / RAZÓN SOCIAL DEL BENEFICIARIO:" dataDxfId="17"/>
    <tableColumn id="6" xr3:uid="{00000000-0010-0000-0100-000006000000}" name="MODALIDAD DE PAGO:" dataDxfId="16"/>
    <tableColumn id="7" xr3:uid="{00000000-0010-0000-0100-000007000000}" name="CUENTA A ACREDITAR / N° DE TARJETA:" dataDxfId="15"/>
    <tableColumn id="8" xr3:uid="{00000000-0010-0000-0100-000008000000}" name="CÓD. BANCO:" dataDxfId="14"/>
    <tableColumn id="9" xr3:uid="{00000000-0010-0000-0100-000009000000}" name="STATUS DE BENEFICIARIO:" dataDxfId="13"/>
    <tableColumn id="10" xr3:uid="{00000000-0010-0000-0100-00000A000000}" name=" MONTO MÁXIMO:" dataDxfId="12" dataCellStyle="Hipervínculo 2"/>
    <tableColumn id="11" xr3:uid="{00000000-0010-0000-0100-00000B000000}" name="MONEDA:" dataDxfId="11" dataCellStyle="Hipervínculo 2"/>
    <tableColumn id="12" xr3:uid="{00000000-0010-0000-0100-00000C000000}" name="CORREO ELECTRÓNICO:" dataDxfId="10" dataCellStyle="Euro"/>
    <tableColumn id="13" xr3:uid="{00000000-0010-0000-0100-00000D000000}" name="N° DE TELEF. CELULAR:" dataDxfId="9"/>
    <tableColumn id="14" xr3:uid="{00000000-0010-0000-0100-00000E000000}" name="CÓD. RESPUESTA" dataDxfId="8"/>
    <tableColumn id="15" xr3:uid="{00000000-0010-0000-0100-00000F000000}" name="DESCRIPCIÓN" dataDxfId="7"/>
    <tableColumn id="16" xr3:uid="{00000000-0010-0000-0100-000010000000}" name="CÓD. RECHAZO" dataDxfId="6"/>
    <tableColumn id="17" xr3:uid="{00000000-0010-0000-0100-000011000000}" name="DESCRIPCIÓN RECHAZO" dataDxfId="5"/>
    <tableColumn id="18" xr3:uid="{00000000-0010-0000-0100-000012000000}" name="IDENTIFICADOR REGISTRO:" dataDxfId="4"/>
    <tableColumn id="19" xr3:uid="{00000000-0010-0000-0100-000013000000}" name="TIPO PERSONA  :" dataDxfId="3"/>
    <tableColumn id="20" xr3:uid="{00000000-0010-0000-0100-000014000000}" name="R.I.F. / C.I. N°: " dataDxfId="2"/>
    <tableColumn id="21" xr3:uid="{00000000-0010-0000-0100-000015000000}" name="NOMBRE DEL AUTORIZADO:" dataDxfId="1"/>
    <tableColumn id="22" xr3:uid="{00000000-0010-0000-0100-000016000000}" name="STATUS DEL AUTORIZADO: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9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6.emf"/><Relationship Id="rId12" Type="http://schemas.openxmlformats.org/officeDocument/2006/relationships/control" Target="../activeX/activeX5.xml"/><Relationship Id="rId17" Type="http://schemas.openxmlformats.org/officeDocument/2006/relationships/image" Target="../media/image21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2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7.emf"/><Relationship Id="rId14" Type="http://schemas.openxmlformats.org/officeDocument/2006/relationships/control" Target="../activeX/activeX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2.xml"/><Relationship Id="rId5" Type="http://schemas.openxmlformats.org/officeDocument/2006/relationships/image" Target="../media/image25.emf"/><Relationship Id="rId4" Type="http://schemas.openxmlformats.org/officeDocument/2006/relationships/control" Target="../activeX/activeX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://support.microsoft.com/kb/269370/es" TargetMode="External"/><Relationship Id="rId2" Type="http://schemas.openxmlformats.org/officeDocument/2006/relationships/hyperlink" Target="http://precisioncalc.com/Excel97free.html" TargetMode="External"/><Relationship Id="rId1" Type="http://schemas.openxmlformats.org/officeDocument/2006/relationships/hyperlink" Target="http://jldexcelsp.blogspot.com/2009/07/numeros-grandes-en-excel-primera-nota.html" TargetMode="External"/><Relationship Id="rId6" Type="http://schemas.openxmlformats.org/officeDocument/2006/relationships/comments" Target="../comments3.xml"/><Relationship Id="rId5" Type="http://schemas.openxmlformats.org/officeDocument/2006/relationships/vmlDrawing" Target="../drawings/vmlDrawing4.vml"/><Relationship Id="rId4" Type="http://schemas.openxmlformats.org/officeDocument/2006/relationships/printerSettings" Target="../printerSettings/printerSettings15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rinterSettings" Target="../printerSettings/printerSettings16.bin"/><Relationship Id="rId7" Type="http://schemas.openxmlformats.org/officeDocument/2006/relationships/image" Target="../media/image26.emf"/><Relationship Id="rId2" Type="http://schemas.openxmlformats.org/officeDocument/2006/relationships/hyperlink" Target="mailto:joseh.cortez@gmail.com" TargetMode="External"/><Relationship Id="rId1" Type="http://schemas.openxmlformats.org/officeDocument/2006/relationships/hyperlink" Target="mailto:joseh.cortez@gmail.com" TargetMode="External"/><Relationship Id="rId6" Type="http://schemas.openxmlformats.org/officeDocument/2006/relationships/control" Target="../activeX/activeX9.xml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6.xml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7" Type="http://schemas.openxmlformats.org/officeDocument/2006/relationships/comments" Target="../comments5.xml"/><Relationship Id="rId2" Type="http://schemas.openxmlformats.org/officeDocument/2006/relationships/hyperlink" Target="mailto:joseh.cortez@gmail.com" TargetMode="External"/><Relationship Id="rId1" Type="http://schemas.openxmlformats.org/officeDocument/2006/relationships/hyperlink" Target="mailto:joseh.cortez@gmail.com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hyperlink" Target="mailto:joseh.cortez@gmail.com" TargetMode="External"/><Relationship Id="rId1" Type="http://schemas.openxmlformats.org/officeDocument/2006/relationships/hyperlink" Target="mailto:joseh.cortez@gmail.com" TargetMode="External"/><Relationship Id="rId6" Type="http://schemas.openxmlformats.org/officeDocument/2006/relationships/ctrlProp" Target="../ctrlProps/ctrlProp3.xml"/><Relationship Id="rId5" Type="http://schemas.openxmlformats.org/officeDocument/2006/relationships/vmlDrawing" Target="../drawings/vmlDrawing7.vml"/><Relationship Id="rId4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3">
    <pageSetUpPr fitToPage="1"/>
  </sheetPr>
  <dimension ref="A1:O42"/>
  <sheetViews>
    <sheetView showGridLines="0" showRowColHeaders="0" topLeftCell="A2" zoomScaleNormal="100" workbookViewId="0"/>
  </sheetViews>
  <sheetFormatPr baseColWidth="10" defaultColWidth="11.42578125" defaultRowHeight="16.5" x14ac:dyDescent="0.3"/>
  <cols>
    <col min="1" max="3" width="11.42578125" style="1"/>
    <col min="4" max="4" width="0.42578125" style="1" customWidth="1"/>
    <col min="5" max="10" width="11.42578125" style="1"/>
    <col min="11" max="11" width="0.42578125" style="1" customWidth="1"/>
    <col min="12" max="16384" width="11.42578125" style="1"/>
  </cols>
  <sheetData>
    <row r="1" spans="1:15" ht="10.5" hidden="1" customHeight="1" x14ac:dyDescent="0.3">
      <c r="A1" s="6">
        <v>1</v>
      </c>
    </row>
    <row r="2" spans="1:15" ht="15" customHeight="1" x14ac:dyDescent="0.3"/>
    <row r="3" spans="1:15" ht="18.75" customHeight="1" x14ac:dyDescent="0.3"/>
    <row r="4" spans="1:15" ht="11.25" customHeight="1" x14ac:dyDescent="0.3"/>
    <row r="5" spans="1:15" ht="14.25" customHeight="1" x14ac:dyDescent="0.3"/>
    <row r="6" spans="1:15" ht="20.25" customHeight="1" x14ac:dyDescent="0.3">
      <c r="A6" s="389" t="s">
        <v>333</v>
      </c>
      <c r="B6" s="389"/>
      <c r="C6" s="389"/>
      <c r="D6" s="389"/>
      <c r="E6" s="389"/>
      <c r="F6" s="389"/>
      <c r="G6" s="389"/>
      <c r="H6" s="389"/>
      <c r="I6" s="389"/>
      <c r="J6" s="389"/>
      <c r="K6" s="389"/>
      <c r="L6" s="389"/>
      <c r="M6" s="389"/>
      <c r="N6" s="389"/>
      <c r="O6" s="389"/>
    </row>
    <row r="7" spans="1:15" ht="14.25" customHeight="1" x14ac:dyDescent="0.3"/>
    <row r="8" spans="1:15" ht="9" customHeight="1" x14ac:dyDescent="0.3"/>
    <row r="11" spans="1:15" ht="7.5" customHeight="1" x14ac:dyDescent="0.3"/>
    <row r="12" spans="1:15" ht="12" customHeight="1" x14ac:dyDescent="0.3"/>
    <row r="13" spans="1:15" ht="21" customHeight="1" x14ac:dyDescent="0.3"/>
    <row r="14" spans="1:15" ht="47.25" customHeight="1" x14ac:dyDescent="0.3"/>
    <row r="15" spans="1:15" ht="12.75" customHeight="1" x14ac:dyDescent="0.3"/>
    <row r="16" spans="1:15" ht="15.75" customHeight="1" x14ac:dyDescent="0.3"/>
    <row r="17" spans="1:13" ht="16.5" customHeight="1" x14ac:dyDescent="0.3">
      <c r="A17" s="304"/>
      <c r="B17" s="304"/>
      <c r="C17" s="304"/>
      <c r="D17" s="304"/>
      <c r="E17" s="304"/>
      <c r="F17" s="304"/>
      <c r="G17" s="304"/>
      <c r="H17" s="304"/>
      <c r="I17" s="304"/>
      <c r="J17" s="304"/>
      <c r="K17" s="304"/>
    </row>
    <row r="18" spans="1:13" ht="11.25" customHeight="1" x14ac:dyDescent="0.3">
      <c r="D18" s="305"/>
      <c r="E18" s="305"/>
      <c r="F18"/>
      <c r="G18" s="305"/>
      <c r="H18" s="305"/>
    </row>
    <row r="19" spans="1:13" ht="16.5" customHeight="1" x14ac:dyDescent="0.3"/>
    <row r="20" spans="1:13" ht="13.5" customHeight="1" x14ac:dyDescent="0.3"/>
    <row r="21" spans="1:13" ht="9.75" customHeight="1" x14ac:dyDescent="0.3">
      <c r="E21" s="305"/>
      <c r="F21" s="305"/>
      <c r="G21"/>
      <c r="H21" s="305"/>
      <c r="I21" s="305"/>
    </row>
    <row r="29" spans="1:13" x14ac:dyDescent="0.3">
      <c r="C29" s="221"/>
      <c r="D29" s="221"/>
      <c r="E29" s="221"/>
      <c r="F29" s="221"/>
      <c r="G29" s="221"/>
      <c r="H29" s="221"/>
      <c r="I29" s="221"/>
      <c r="J29" s="221"/>
      <c r="K29" s="221"/>
      <c r="L29" s="221"/>
      <c r="M29" s="221"/>
    </row>
    <row r="30" spans="1:13" x14ac:dyDescent="0.3">
      <c r="C30" s="221"/>
      <c r="D30" s="221"/>
      <c r="E30" s="221"/>
      <c r="F30" s="221"/>
      <c r="G30" s="221"/>
      <c r="H30" s="221"/>
      <c r="I30" s="221"/>
      <c r="J30" s="221"/>
      <c r="K30" s="221"/>
      <c r="L30" s="221"/>
      <c r="M30" s="221"/>
    </row>
    <row r="31" spans="1:13" hidden="1" x14ac:dyDescent="0.3">
      <c r="C31" s="221"/>
      <c r="D31" s="221"/>
      <c r="E31" s="221"/>
      <c r="F31" s="221"/>
      <c r="G31" s="221"/>
      <c r="H31" s="221"/>
      <c r="I31" s="221"/>
      <c r="J31" s="221"/>
      <c r="K31" s="221"/>
      <c r="L31" s="221"/>
      <c r="M31" s="221"/>
    </row>
    <row r="32" spans="1:13" hidden="1" x14ac:dyDescent="0.3">
      <c r="B32" s="386" t="s">
        <v>334</v>
      </c>
      <c r="C32" s="386"/>
      <c r="D32" s="386"/>
      <c r="E32" s="386"/>
      <c r="F32" s="386"/>
      <c r="G32" s="386"/>
      <c r="H32" s="386"/>
      <c r="I32" s="386"/>
      <c r="J32" s="386"/>
      <c r="K32" s="386"/>
      <c r="L32" s="386"/>
      <c r="M32" s="221"/>
    </row>
    <row r="33" spans="2:13" hidden="1" x14ac:dyDescent="0.3">
      <c r="B33" s="386"/>
      <c r="C33" s="386"/>
      <c r="D33" s="386"/>
      <c r="E33" s="386"/>
      <c r="F33" s="386"/>
      <c r="G33" s="386"/>
      <c r="H33" s="386"/>
      <c r="I33" s="386"/>
      <c r="J33" s="386"/>
      <c r="K33" s="386"/>
      <c r="L33" s="386"/>
      <c r="M33" s="221"/>
    </row>
    <row r="34" spans="2:13" hidden="1" x14ac:dyDescent="0.3">
      <c r="C34" s="221"/>
      <c r="D34" s="221"/>
      <c r="E34" s="221"/>
      <c r="F34" s="221"/>
      <c r="G34" s="221"/>
      <c r="H34" s="221"/>
      <c r="I34" s="221"/>
      <c r="J34" s="221"/>
      <c r="K34" s="221"/>
      <c r="L34" s="221"/>
      <c r="M34" s="221"/>
    </row>
    <row r="35" spans="2:13" hidden="1" x14ac:dyDescent="0.3">
      <c r="C35" s="387" t="s">
        <v>335</v>
      </c>
      <c r="D35" s="387"/>
      <c r="E35" s="306"/>
      <c r="F35" s="306"/>
      <c r="G35" s="307" t="s">
        <v>336</v>
      </c>
      <c r="H35" s="306"/>
      <c r="I35" s="306"/>
      <c r="J35" s="388" t="s">
        <v>337</v>
      </c>
      <c r="K35" s="388"/>
      <c r="L35" s="221"/>
      <c r="M35" s="221"/>
    </row>
    <row r="36" spans="2:13" x14ac:dyDescent="0.3">
      <c r="C36" s="221"/>
      <c r="D36" s="221"/>
      <c r="E36" s="221"/>
      <c r="F36" s="221"/>
      <c r="G36" s="221"/>
      <c r="H36" s="221"/>
      <c r="I36" s="221"/>
      <c r="J36" s="221"/>
      <c r="K36" s="221"/>
      <c r="L36" s="221"/>
      <c r="M36" s="221"/>
    </row>
    <row r="37" spans="2:13" x14ac:dyDescent="0.3">
      <c r="C37" s="221"/>
      <c r="D37" s="221"/>
      <c r="E37" s="221"/>
      <c r="F37" s="221"/>
      <c r="G37" s="221"/>
      <c r="H37" s="221"/>
      <c r="I37" s="221"/>
      <c r="J37" s="221"/>
      <c r="K37" s="221"/>
      <c r="L37" s="221"/>
      <c r="M37" s="221"/>
    </row>
    <row r="38" spans="2:13" x14ac:dyDescent="0.3">
      <c r="C38" s="221"/>
      <c r="D38" s="221"/>
      <c r="E38" s="221"/>
      <c r="F38" s="221"/>
      <c r="G38" s="221"/>
      <c r="H38" s="221"/>
      <c r="I38" s="221"/>
      <c r="J38" s="221"/>
      <c r="K38" s="221"/>
      <c r="L38" s="221"/>
      <c r="M38" s="221"/>
    </row>
    <row r="39" spans="2:13" x14ac:dyDescent="0.3">
      <c r="C39" s="221"/>
      <c r="D39" s="221"/>
      <c r="E39" s="221"/>
      <c r="F39" s="221"/>
      <c r="G39" s="221"/>
      <c r="H39" s="221"/>
      <c r="I39" s="221"/>
      <c r="J39" s="221"/>
      <c r="K39" s="221"/>
      <c r="L39" s="221"/>
      <c r="M39" s="221"/>
    </row>
    <row r="40" spans="2:13" x14ac:dyDescent="0.3">
      <c r="C40" s="221"/>
      <c r="D40" s="221"/>
      <c r="E40" s="221"/>
      <c r="F40" s="221"/>
      <c r="G40" s="221"/>
      <c r="H40" s="221"/>
      <c r="I40" s="221"/>
      <c r="J40" s="221"/>
      <c r="K40" s="221"/>
      <c r="L40" s="221"/>
      <c r="M40" s="221"/>
    </row>
    <row r="41" spans="2:13" x14ac:dyDescent="0.3">
      <c r="C41" s="221"/>
      <c r="D41" s="221"/>
      <c r="E41" s="221"/>
      <c r="F41" s="221"/>
      <c r="G41" s="221"/>
      <c r="H41" s="221"/>
      <c r="I41" s="221"/>
      <c r="J41" s="221"/>
      <c r="K41" s="221"/>
      <c r="L41" s="221"/>
      <c r="M41" s="221"/>
    </row>
    <row r="42" spans="2:13" x14ac:dyDescent="0.3">
      <c r="C42" s="221"/>
      <c r="D42" s="221"/>
      <c r="E42" s="221"/>
      <c r="F42" s="221"/>
      <c r="G42" s="221"/>
      <c r="H42" s="221"/>
      <c r="I42" s="221"/>
      <c r="J42" s="221"/>
      <c r="K42" s="221"/>
      <c r="L42" s="221"/>
      <c r="M42" s="221"/>
    </row>
  </sheetData>
  <sheetProtection password="EAD8" sheet="1" objects="1" scenarios="1" selectLockedCells="1"/>
  <mergeCells count="4">
    <mergeCell ref="B32:L33"/>
    <mergeCell ref="C35:D35"/>
    <mergeCell ref="J35:K35"/>
    <mergeCell ref="A6:O6"/>
  </mergeCells>
  <hyperlinks>
    <hyperlink ref="C35" location="Macros!A1" tooltip="Ayuda" display="Excel - 2003" xr:uid="{00000000-0004-0000-0900-000000000000}"/>
    <hyperlink ref="G35" location="Macros!A89" tooltip="Ayuda" display="Excel - 2007" xr:uid="{00000000-0004-0000-0900-000001000000}"/>
  </hyperlinks>
  <pageMargins left="0.70866141732283472" right="0.70866141732283472" top="0.74803149606299213" bottom="0.74803149606299213" header="0.31496062992125984" footer="0.31496062992125984"/>
  <pageSetup scale="61" orientation="portrait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"/>
  <dimension ref="A1"/>
  <sheetViews>
    <sheetView workbookViewId="0">
      <selection activeCell="B39" sqref="B39"/>
    </sheetView>
  </sheetViews>
  <sheetFormatPr baseColWidth="10" defaultColWidth="9.140625" defaultRowHeight="15" x14ac:dyDescent="0.25"/>
  <cols>
    <col min="1" max="256" width="11.42578125" customWidth="1"/>
  </cols>
  <sheetData>
    <row r="1" spans="1:1" x14ac:dyDescent="0.25">
      <c r="A1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">
    <pageSetUpPr fitToPage="1"/>
  </sheetPr>
  <dimension ref="A1:IV57"/>
  <sheetViews>
    <sheetView showGridLines="0" showRowColHeaders="0" tabSelected="1" zoomScaleNormal="100" workbookViewId="0">
      <pane xSplit="1" ySplit="13" topLeftCell="B14" activePane="bottomRight" state="frozen"/>
      <selection pane="topRight" activeCell="B1" sqref="B1"/>
      <selection pane="bottomLeft" activeCell="A14" sqref="A14"/>
      <selection pane="bottomRight" activeCell="D17" sqref="D17"/>
    </sheetView>
  </sheetViews>
  <sheetFormatPr baseColWidth="10" defaultColWidth="0" defaultRowHeight="15" x14ac:dyDescent="0.35"/>
  <cols>
    <col min="1" max="1" width="1.5703125" style="142" customWidth="1"/>
    <col min="2" max="2" width="13.7109375" style="142" customWidth="1"/>
    <col min="3" max="3" width="15.140625" style="313" customWidth="1"/>
    <col min="4" max="4" width="29.85546875" style="142" customWidth="1"/>
    <col min="5" max="5" width="17.42578125" style="313" customWidth="1"/>
    <col min="6" max="6" width="27.7109375" style="313" customWidth="1"/>
    <col min="7" max="7" width="10.5703125" style="313" customWidth="1"/>
    <col min="8" max="8" width="19.140625" style="313" customWidth="1"/>
    <col min="9" max="9" width="9.140625" style="142" customWidth="1"/>
    <col min="10" max="10" width="18.140625" style="142" customWidth="1"/>
    <col min="11" max="11" width="12.140625" style="142" customWidth="1"/>
    <col min="12" max="12" width="16.7109375" style="142" hidden="1" customWidth="1"/>
    <col min="13" max="13" width="26.42578125" style="142" customWidth="1"/>
    <col min="14" max="14" width="15.7109375" style="142" customWidth="1"/>
    <col min="15" max="15" width="18.7109375" style="142" hidden="1" customWidth="1"/>
    <col min="16" max="16" width="27.140625" style="142" customWidth="1"/>
    <col min="17" max="17" width="12.5703125" style="142" customWidth="1"/>
    <col min="18" max="18" width="22.5703125" style="142" customWidth="1"/>
    <col min="19" max="19" width="17.5703125" style="142" customWidth="1"/>
    <col min="20" max="20" width="11.85546875" style="142" hidden="1" customWidth="1"/>
    <col min="21" max="21" width="12.7109375" style="142" customWidth="1"/>
    <col min="22" max="22" width="19" style="142" hidden="1" customWidth="1"/>
    <col min="23" max="23" width="12.140625" style="142" customWidth="1"/>
    <col min="24" max="24" width="13.85546875" style="142" hidden="1" customWidth="1"/>
    <col min="25" max="25" width="14.5703125" style="142" hidden="1" customWidth="1"/>
    <col min="26" max="26" width="7.140625" style="142" hidden="1" customWidth="1"/>
    <col min="27" max="27" width="8.5703125" style="142" hidden="1" customWidth="1"/>
    <col min="28" max="28" width="8.5703125" style="142" customWidth="1"/>
    <col min="29" max="29" width="10.7109375" style="142" customWidth="1"/>
    <col min="30" max="253" width="0" style="142" hidden="1"/>
    <col min="254" max="254" width="6.140625" style="142" customWidth="1"/>
    <col min="255" max="255" width="10.85546875" style="142" customWidth="1"/>
    <col min="256" max="16384" width="15" style="142" hidden="1"/>
  </cols>
  <sheetData>
    <row r="1" spans="1:256" s="7" customFormat="1" ht="15.75" customHeight="1" x14ac:dyDescent="0.35">
      <c r="A1" s="231"/>
      <c r="B1" s="231"/>
      <c r="C1" s="231"/>
      <c r="D1" s="231"/>
      <c r="E1" s="231"/>
      <c r="F1" s="231"/>
      <c r="G1" s="231"/>
      <c r="H1" s="231"/>
      <c r="I1" s="231"/>
      <c r="J1" s="231"/>
      <c r="K1" s="231"/>
      <c r="L1" s="231"/>
      <c r="M1" s="17"/>
      <c r="N1" s="17"/>
      <c r="O1" s="17"/>
      <c r="P1" s="17"/>
      <c r="Q1" s="17"/>
      <c r="R1" s="17"/>
      <c r="S1" s="17"/>
      <c r="T1" s="17"/>
      <c r="U1" s="286">
        <v>1</v>
      </c>
      <c r="V1" s="17"/>
      <c r="W1" s="17"/>
      <c r="X1" s="17">
        <v>1</v>
      </c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IV1" s="7" t="s">
        <v>288</v>
      </c>
    </row>
    <row r="2" spans="1:256" s="7" customFormat="1" ht="16.5" x14ac:dyDescent="0.35">
      <c r="B2" s="19"/>
      <c r="C2" s="8"/>
      <c r="D2" s="225"/>
      <c r="E2" s="19"/>
      <c r="F2" s="225"/>
      <c r="G2" s="228"/>
      <c r="H2" s="228"/>
      <c r="I2" s="224"/>
      <c r="J2" s="226"/>
      <c r="K2" s="226"/>
      <c r="L2" s="227"/>
      <c r="M2" s="309"/>
      <c r="N2" s="336"/>
      <c r="O2" s="336"/>
      <c r="AB2" s="17"/>
      <c r="AC2" s="17"/>
      <c r="AD2" s="17"/>
      <c r="AE2" s="17"/>
      <c r="AF2" s="17"/>
      <c r="AG2" s="17"/>
      <c r="AH2" s="17"/>
      <c r="AI2" s="17"/>
      <c r="AJ2" s="227"/>
      <c r="AK2" s="227"/>
    </row>
    <row r="3" spans="1:256" s="337" customFormat="1" ht="9.75" customHeight="1" x14ac:dyDescent="0.3">
      <c r="C3" s="338"/>
      <c r="E3" s="338"/>
      <c r="F3" s="338"/>
      <c r="G3" s="338"/>
      <c r="H3" s="338"/>
      <c r="X3" s="339">
        <v>1</v>
      </c>
    </row>
    <row r="4" spans="1:256" s="337" customFormat="1" ht="16.5" x14ac:dyDescent="0.3">
      <c r="C4" s="338"/>
      <c r="E4" s="338"/>
      <c r="G4" s="338"/>
      <c r="H4" s="338"/>
    </row>
    <row r="5" spans="1:256" s="337" customFormat="1" ht="18" x14ac:dyDescent="0.35">
      <c r="C5" s="406" t="s">
        <v>39</v>
      </c>
      <c r="D5" s="406"/>
      <c r="E5" s="406"/>
      <c r="F5" s="406"/>
      <c r="G5" s="406"/>
      <c r="H5" s="406"/>
      <c r="I5" s="406"/>
      <c r="J5" s="340"/>
      <c r="K5" s="340"/>
      <c r="L5" s="340"/>
      <c r="M5" s="340"/>
      <c r="N5" s="340"/>
      <c r="O5" s="340"/>
      <c r="P5" s="340"/>
      <c r="Q5" s="340"/>
      <c r="R5" s="340"/>
      <c r="S5" s="340"/>
      <c r="T5" s="340"/>
      <c r="U5" s="340"/>
      <c r="V5" s="340"/>
    </row>
    <row r="6" spans="1:256" s="337" customFormat="1" ht="20.25" customHeight="1" x14ac:dyDescent="0.3">
      <c r="C6" s="338"/>
      <c r="E6" s="338"/>
      <c r="F6" s="338"/>
      <c r="G6" s="341"/>
      <c r="H6" s="341"/>
      <c r="I6" s="342"/>
    </row>
    <row r="7" spans="1:256" s="337" customFormat="1" ht="16.5" x14ac:dyDescent="0.3">
      <c r="A7" s="343"/>
      <c r="B7" s="343"/>
      <c r="C7" s="344"/>
      <c r="D7" s="343"/>
      <c r="E7" s="345"/>
      <c r="F7" s="343"/>
      <c r="G7" s="345"/>
      <c r="H7" s="345"/>
    </row>
    <row r="8" spans="1:256" s="346" customFormat="1" ht="12" customHeight="1" x14ac:dyDescent="0.35">
      <c r="B8" s="391" t="s">
        <v>0</v>
      </c>
      <c r="C8" s="391"/>
      <c r="D8" s="310" t="s">
        <v>1</v>
      </c>
      <c r="E8" s="391" t="s">
        <v>230</v>
      </c>
      <c r="F8" s="391"/>
      <c r="H8" s="310" t="s">
        <v>6</v>
      </c>
      <c r="I8" s="391" t="s">
        <v>7</v>
      </c>
      <c r="J8" s="391"/>
      <c r="K8" s="310" t="s">
        <v>8</v>
      </c>
      <c r="L8" s="309"/>
      <c r="M8" s="309"/>
      <c r="N8" s="309"/>
      <c r="O8" s="347"/>
      <c r="P8" s="401" t="s">
        <v>5</v>
      </c>
      <c r="Q8" s="401"/>
      <c r="R8" s="401"/>
      <c r="S8" s="401"/>
      <c r="T8" s="401"/>
      <c r="U8" s="401"/>
      <c r="V8" s="401"/>
    </row>
    <row r="9" spans="1:256" s="350" customFormat="1" ht="18" customHeight="1" x14ac:dyDescent="0.25">
      <c r="A9" s="348"/>
      <c r="B9" s="402"/>
      <c r="C9" s="402"/>
      <c r="D9" s="258"/>
      <c r="E9" s="395"/>
      <c r="F9" s="395"/>
      <c r="G9" s="295"/>
      <c r="H9" s="349">
        <f>COUNTA(B14:B37)</f>
        <v>0</v>
      </c>
      <c r="I9" s="393">
        <f>SUM(M14:M37)</f>
        <v>0</v>
      </c>
      <c r="J9" s="393"/>
      <c r="K9" s="260" t="s">
        <v>21</v>
      </c>
      <c r="O9" s="351"/>
      <c r="U9" s="298"/>
    </row>
    <row r="10" spans="1:256" s="354" customFormat="1" ht="12.75" customHeight="1" x14ac:dyDescent="0.25">
      <c r="A10" s="352"/>
      <c r="B10" s="392" t="s">
        <v>2</v>
      </c>
      <c r="C10" s="392"/>
      <c r="D10" s="353" t="s">
        <v>3</v>
      </c>
      <c r="E10" s="392" t="s">
        <v>4</v>
      </c>
      <c r="F10" s="392"/>
      <c r="H10" s="352"/>
      <c r="I10" s="294"/>
      <c r="J10" s="297"/>
      <c r="K10" s="297"/>
      <c r="L10" s="355"/>
      <c r="M10" s="294"/>
      <c r="N10" s="300"/>
      <c r="O10" s="356"/>
      <c r="P10" s="357"/>
      <c r="Q10" s="358"/>
      <c r="R10" s="359"/>
      <c r="S10" s="263"/>
      <c r="T10" s="263"/>
      <c r="U10" s="294"/>
      <c r="X10" s="360" t="b">
        <f>OR(B9=0,D9=0,E9=0,E11=0,B11=0,D11=0)</f>
        <v>1</v>
      </c>
    </row>
    <row r="11" spans="1:256" s="350" customFormat="1" ht="18" customHeight="1" x14ac:dyDescent="0.25">
      <c r="A11" s="348"/>
      <c r="B11" s="405"/>
      <c r="C11" s="405"/>
      <c r="D11" s="259"/>
      <c r="E11" s="396"/>
      <c r="F11" s="396"/>
      <c r="G11" s="296"/>
      <c r="H11" s="348"/>
      <c r="I11" s="298"/>
      <c r="J11" s="299"/>
      <c r="K11" s="299"/>
      <c r="L11" s="361"/>
      <c r="M11" s="298"/>
      <c r="N11" s="301"/>
      <c r="O11" s="362"/>
      <c r="P11" s="363"/>
      <c r="Q11" s="364"/>
      <c r="R11" s="365"/>
      <c r="S11" s="257"/>
      <c r="T11" s="257"/>
      <c r="U11" s="298"/>
      <c r="X11" s="360"/>
    </row>
    <row r="12" spans="1:256" s="337" customFormat="1" ht="21.75" customHeight="1" x14ac:dyDescent="0.3">
      <c r="B12" s="366"/>
      <c r="C12" s="367"/>
      <c r="D12" s="366"/>
      <c r="E12" s="367" t="s">
        <v>98</v>
      </c>
      <c r="F12" s="367"/>
      <c r="G12" s="366"/>
      <c r="H12" s="367"/>
      <c r="I12" s="366"/>
      <c r="J12" s="366"/>
      <c r="K12" s="366"/>
      <c r="L12" s="366"/>
      <c r="M12" s="366"/>
      <c r="N12" s="366"/>
      <c r="O12" s="366"/>
      <c r="P12" s="366"/>
      <c r="Q12" s="366"/>
      <c r="R12" s="368"/>
      <c r="S12" s="346"/>
      <c r="T12" s="346"/>
      <c r="U12" s="346"/>
      <c r="V12" s="346"/>
      <c r="W12" s="346"/>
      <c r="X12" s="360"/>
      <c r="Z12" s="366"/>
    </row>
    <row r="13" spans="1:256" s="291" customFormat="1" ht="28.5" customHeight="1" x14ac:dyDescent="0.35">
      <c r="A13" s="290"/>
      <c r="B13" s="369" t="s">
        <v>37</v>
      </c>
      <c r="C13" s="370" t="s">
        <v>9</v>
      </c>
      <c r="D13" s="371" t="s">
        <v>10</v>
      </c>
      <c r="E13" s="372" t="s">
        <v>11</v>
      </c>
      <c r="F13" s="372" t="s">
        <v>12</v>
      </c>
      <c r="G13" s="372" t="s">
        <v>29</v>
      </c>
      <c r="H13" s="372" t="s">
        <v>13</v>
      </c>
      <c r="I13" s="403" t="s">
        <v>226</v>
      </c>
      <c r="J13" s="404"/>
      <c r="K13" s="372" t="s">
        <v>14</v>
      </c>
      <c r="L13" s="372" t="s">
        <v>228</v>
      </c>
      <c r="M13" s="372" t="s">
        <v>15</v>
      </c>
      <c r="N13" s="372" t="s">
        <v>18</v>
      </c>
      <c r="O13" s="372" t="s">
        <v>16</v>
      </c>
      <c r="P13" s="372" t="s">
        <v>319</v>
      </c>
      <c r="Q13" s="372" t="s">
        <v>17</v>
      </c>
      <c r="R13" s="372" t="s">
        <v>38</v>
      </c>
      <c r="S13" s="372" t="s">
        <v>20</v>
      </c>
      <c r="T13" s="372" t="s">
        <v>95</v>
      </c>
      <c r="U13" s="372" t="s">
        <v>19</v>
      </c>
      <c r="V13" s="372" t="s">
        <v>229</v>
      </c>
      <c r="W13" s="373" t="s">
        <v>18</v>
      </c>
      <c r="X13" s="360"/>
      <c r="Z13" s="290"/>
    </row>
    <row r="14" spans="1:256" ht="18" customHeight="1" x14ac:dyDescent="0.35">
      <c r="B14" s="10"/>
      <c r="C14" s="11"/>
      <c r="D14" s="15"/>
      <c r="E14" s="11"/>
      <c r="F14" s="12"/>
      <c r="G14" s="12"/>
      <c r="H14" s="222"/>
      <c r="I14" s="317" t="str">
        <f t="shared" ref="I14:I34" si="0">IF(H14="","",IF(OR(G14="BAN",G14="CTA"),H14,""))</f>
        <v/>
      </c>
      <c r="J14" s="220"/>
      <c r="K14" s="14"/>
      <c r="L14" s="318"/>
      <c r="M14" s="69"/>
      <c r="N14" s="69"/>
      <c r="O14" s="233"/>
      <c r="P14" s="215"/>
      <c r="Q14" s="13"/>
      <c r="R14" s="254"/>
      <c r="S14" s="69"/>
      <c r="T14" s="69"/>
      <c r="U14" s="14"/>
      <c r="V14" s="14"/>
      <c r="W14" s="69"/>
      <c r="X14" s="142" t="b">
        <f t="shared" ref="X14:X21" si="1">AND(OR(LEN(B14)&lt;&gt;0,LEN(D14)&lt;&gt;0,LEN(C14)&lt;&gt;0,LEN(E14)&lt;&gt;0,LEN(F14)&lt;&gt;0,LEN(K14)&lt;&gt;0,LEN(M14)&lt;&gt;0,LEN(N14)&lt;&gt;0,LEN(O14)&lt;&gt;0)=TRUE,Y14=TRUE)</f>
        <v>0</v>
      </c>
      <c r="Y14" s="319" t="b">
        <f t="shared" ref="Y14:Y21" si="2">IF(OR(G14="CHQ",G14="EFE"),TRUE,IF(AND(OR(G14="V/M",G14="AME"),LEN(J14)&lt;&gt;0),TRUE,IF(AND(OR(G14="CTA",G14="BAN",G14="TAR"),AND(LEN(H14)&lt;&gt;0,LEN(J14)&lt;&gt;0)),TRUE,FALSE)))</f>
        <v>0</v>
      </c>
    </row>
    <row r="15" spans="1:256" ht="18" customHeight="1" x14ac:dyDescent="0.35">
      <c r="B15" s="10"/>
      <c r="C15" s="11"/>
      <c r="D15" s="15"/>
      <c r="E15" s="11"/>
      <c r="F15" s="12"/>
      <c r="G15" s="12"/>
      <c r="H15" s="222"/>
      <c r="I15" s="317" t="str">
        <f t="shared" si="0"/>
        <v/>
      </c>
      <c r="J15" s="220"/>
      <c r="K15" s="14"/>
      <c r="L15" s="318"/>
      <c r="M15" s="69"/>
      <c r="N15" s="69"/>
      <c r="O15" s="233"/>
      <c r="P15" s="215"/>
      <c r="Q15" s="13"/>
      <c r="R15" s="254"/>
      <c r="S15" s="69"/>
      <c r="T15" s="69"/>
      <c r="U15" s="14"/>
      <c r="V15" s="318"/>
      <c r="W15" s="69"/>
      <c r="X15" s="142" t="b">
        <f t="shared" si="1"/>
        <v>0</v>
      </c>
      <c r="Y15" s="319" t="b">
        <f t="shared" si="2"/>
        <v>0</v>
      </c>
    </row>
    <row r="16" spans="1:256" ht="18" customHeight="1" x14ac:dyDescent="0.35">
      <c r="B16" s="10"/>
      <c r="C16" s="11"/>
      <c r="D16" s="15"/>
      <c r="E16" s="11"/>
      <c r="F16" s="12"/>
      <c r="G16" s="12"/>
      <c r="H16" s="222"/>
      <c r="I16" s="317" t="str">
        <f t="shared" si="0"/>
        <v/>
      </c>
      <c r="J16" s="220"/>
      <c r="K16" s="14"/>
      <c r="L16" s="318"/>
      <c r="M16" s="69"/>
      <c r="N16" s="69"/>
      <c r="O16" s="233"/>
      <c r="P16" s="215"/>
      <c r="Q16" s="13"/>
      <c r="R16" s="254"/>
      <c r="S16" s="69"/>
      <c r="T16" s="69"/>
      <c r="U16" s="14"/>
      <c r="V16" s="318"/>
      <c r="W16" s="69"/>
      <c r="X16" s="142" t="b">
        <f t="shared" si="1"/>
        <v>0</v>
      </c>
      <c r="Y16" s="319" t="b">
        <f t="shared" si="2"/>
        <v>0</v>
      </c>
    </row>
    <row r="17" spans="2:25" ht="18" customHeight="1" x14ac:dyDescent="0.35">
      <c r="B17" s="10"/>
      <c r="C17" s="11"/>
      <c r="D17" s="15"/>
      <c r="E17" s="11"/>
      <c r="F17" s="12"/>
      <c r="G17" s="12"/>
      <c r="H17" s="222"/>
      <c r="I17" s="317" t="str">
        <f t="shared" si="0"/>
        <v/>
      </c>
      <c r="J17" s="220"/>
      <c r="K17" s="14"/>
      <c r="L17" s="318"/>
      <c r="M17" s="69"/>
      <c r="N17" s="69"/>
      <c r="O17" s="233"/>
      <c r="P17" s="215"/>
      <c r="Q17" s="13"/>
      <c r="R17" s="254"/>
      <c r="S17" s="69"/>
      <c r="T17" s="69" t="str">
        <f t="shared" ref="T17:T27" si="3">IF(S17="","","VEB")</f>
        <v/>
      </c>
      <c r="U17" s="14"/>
      <c r="V17" s="318"/>
      <c r="W17" s="69"/>
      <c r="X17" s="142" t="b">
        <f t="shared" si="1"/>
        <v>0</v>
      </c>
      <c r="Y17" s="319" t="b">
        <f t="shared" si="2"/>
        <v>0</v>
      </c>
    </row>
    <row r="18" spans="2:25" ht="18" customHeight="1" x14ac:dyDescent="0.35">
      <c r="B18" s="10"/>
      <c r="C18" s="11"/>
      <c r="D18" s="15"/>
      <c r="E18" s="11"/>
      <c r="F18" s="12"/>
      <c r="G18" s="12"/>
      <c r="H18" s="222"/>
      <c r="I18" s="317" t="str">
        <f t="shared" si="0"/>
        <v/>
      </c>
      <c r="J18" s="220"/>
      <c r="K18" s="14"/>
      <c r="L18" s="318"/>
      <c r="M18" s="69"/>
      <c r="N18" s="69"/>
      <c r="O18" s="233"/>
      <c r="P18" s="215"/>
      <c r="Q18" s="13"/>
      <c r="R18" s="254"/>
      <c r="S18" s="69"/>
      <c r="T18" s="69" t="str">
        <f t="shared" si="3"/>
        <v/>
      </c>
      <c r="U18" s="14"/>
      <c r="V18" s="318"/>
      <c r="W18" s="69"/>
      <c r="X18" s="142" t="b">
        <f t="shared" si="1"/>
        <v>0</v>
      </c>
      <c r="Y18" s="319" t="b">
        <f t="shared" si="2"/>
        <v>0</v>
      </c>
    </row>
    <row r="19" spans="2:25" ht="18" customHeight="1" x14ac:dyDescent="0.35">
      <c r="B19" s="10"/>
      <c r="C19" s="11"/>
      <c r="D19" s="15"/>
      <c r="E19" s="11"/>
      <c r="F19" s="12"/>
      <c r="G19" s="12"/>
      <c r="H19" s="222"/>
      <c r="I19" s="317" t="str">
        <f t="shared" si="0"/>
        <v/>
      </c>
      <c r="J19" s="220"/>
      <c r="K19" s="14"/>
      <c r="L19" s="318"/>
      <c r="M19" s="69"/>
      <c r="N19" s="69"/>
      <c r="O19" s="233"/>
      <c r="P19" s="215"/>
      <c r="Q19" s="13"/>
      <c r="R19" s="254"/>
      <c r="S19" s="69"/>
      <c r="T19" s="69" t="str">
        <f t="shared" si="3"/>
        <v/>
      </c>
      <c r="U19" s="14"/>
      <c r="V19" s="318"/>
      <c r="W19" s="69"/>
      <c r="X19" s="142" t="b">
        <f t="shared" si="1"/>
        <v>0</v>
      </c>
      <c r="Y19" s="319" t="b">
        <f t="shared" si="2"/>
        <v>0</v>
      </c>
    </row>
    <row r="20" spans="2:25" ht="18" customHeight="1" x14ac:dyDescent="0.35">
      <c r="B20" s="10"/>
      <c r="C20" s="11"/>
      <c r="D20" s="15"/>
      <c r="E20" s="11"/>
      <c r="F20" s="12"/>
      <c r="G20" s="12"/>
      <c r="H20" s="222"/>
      <c r="I20" s="317" t="str">
        <f t="shared" si="0"/>
        <v/>
      </c>
      <c r="J20" s="220"/>
      <c r="K20" s="14"/>
      <c r="L20" s="318"/>
      <c r="M20" s="69"/>
      <c r="N20" s="69"/>
      <c r="O20" s="233"/>
      <c r="P20" s="215"/>
      <c r="Q20" s="13"/>
      <c r="R20" s="254"/>
      <c r="S20" s="69"/>
      <c r="T20" s="69" t="str">
        <f t="shared" si="3"/>
        <v/>
      </c>
      <c r="U20" s="14"/>
      <c r="V20" s="318"/>
      <c r="W20" s="69"/>
      <c r="X20" s="142" t="b">
        <f t="shared" si="1"/>
        <v>0</v>
      </c>
      <c r="Y20" s="319" t="b">
        <f t="shared" si="2"/>
        <v>0</v>
      </c>
    </row>
    <row r="21" spans="2:25" ht="18" customHeight="1" x14ac:dyDescent="0.35">
      <c r="B21" s="10"/>
      <c r="C21" s="11"/>
      <c r="D21" s="15"/>
      <c r="E21" s="11"/>
      <c r="F21" s="12"/>
      <c r="G21" s="12"/>
      <c r="H21" s="222"/>
      <c r="I21" s="317" t="str">
        <f t="shared" si="0"/>
        <v/>
      </c>
      <c r="J21" s="220"/>
      <c r="K21" s="14"/>
      <c r="L21" s="318"/>
      <c r="M21" s="69"/>
      <c r="N21" s="69"/>
      <c r="O21" s="233"/>
      <c r="P21" s="215"/>
      <c r="Q21" s="13"/>
      <c r="R21" s="254"/>
      <c r="S21" s="69"/>
      <c r="T21" s="69" t="str">
        <f t="shared" si="3"/>
        <v/>
      </c>
      <c r="U21" s="14"/>
      <c r="V21" s="318"/>
      <c r="W21" s="69"/>
      <c r="X21" s="142" t="b">
        <f t="shared" si="1"/>
        <v>0</v>
      </c>
      <c r="Y21" s="319" t="b">
        <f t="shared" si="2"/>
        <v>0</v>
      </c>
    </row>
    <row r="22" spans="2:25" ht="18" customHeight="1" x14ac:dyDescent="0.35">
      <c r="B22" s="10"/>
      <c r="C22" s="11"/>
      <c r="D22" s="15"/>
      <c r="E22" s="11"/>
      <c r="F22" s="12"/>
      <c r="G22" s="12"/>
      <c r="H22" s="222"/>
      <c r="I22" s="317" t="str">
        <f t="shared" si="0"/>
        <v/>
      </c>
      <c r="J22" s="220"/>
      <c r="K22" s="14"/>
      <c r="L22" s="318"/>
      <c r="M22" s="69"/>
      <c r="N22" s="69"/>
      <c r="O22" s="233"/>
      <c r="P22" s="215"/>
      <c r="Q22" s="13"/>
      <c r="R22" s="254"/>
      <c r="S22" s="69"/>
      <c r="T22" s="69" t="str">
        <f t="shared" si="3"/>
        <v/>
      </c>
      <c r="U22" s="14"/>
      <c r="V22" s="318"/>
      <c r="W22" s="69"/>
      <c r="X22" s="142" t="b">
        <f t="shared" ref="X22:X27" si="4">AND(OR(LEN(B22)&lt;&gt;0,LEN(D22)&lt;&gt;0,LEN(C22)&lt;&gt;0,LEN(E22)&lt;&gt;0,LEN(F22)&lt;&gt;0,LEN(K22)&lt;&gt;0,LEN(M22)&lt;&gt;0,LEN(N22)&lt;&gt;0,LEN(O22)&lt;&gt;0)=TRUE,Y22=TRUE)</f>
        <v>0</v>
      </c>
      <c r="Y22" s="319" t="b">
        <f t="shared" ref="Y22:Y38" si="5">IF(OR(G22="CHQ",G22="EFE"),TRUE,IF(AND(OR(G22="V/M",G22="AME"),LEN(J22)&lt;&gt;0),TRUE,IF(AND(OR(G22="CTA",G22="BAN",G22="TAR"),AND(LEN(H22)&lt;&gt;0,LEN(J22)&lt;&gt;0)),TRUE,FALSE)))</f>
        <v>0</v>
      </c>
    </row>
    <row r="23" spans="2:25" ht="18" customHeight="1" x14ac:dyDescent="0.35">
      <c r="B23" s="10"/>
      <c r="C23" s="11"/>
      <c r="D23" s="15"/>
      <c r="E23" s="11"/>
      <c r="F23" s="12"/>
      <c r="G23" s="12"/>
      <c r="H23" s="222"/>
      <c r="I23" s="317" t="str">
        <f t="shared" si="0"/>
        <v/>
      </c>
      <c r="J23" s="220"/>
      <c r="K23" s="14"/>
      <c r="L23" s="318"/>
      <c r="M23" s="69"/>
      <c r="N23" s="69"/>
      <c r="O23" s="233"/>
      <c r="P23" s="215"/>
      <c r="Q23" s="13"/>
      <c r="R23" s="254"/>
      <c r="S23" s="69"/>
      <c r="T23" s="69" t="str">
        <f t="shared" si="3"/>
        <v/>
      </c>
      <c r="U23" s="14"/>
      <c r="V23" s="318"/>
      <c r="W23" s="69"/>
      <c r="X23" s="142" t="b">
        <f t="shared" si="4"/>
        <v>0</v>
      </c>
      <c r="Y23" s="319" t="b">
        <f t="shared" si="5"/>
        <v>0</v>
      </c>
    </row>
    <row r="24" spans="2:25" ht="18" customHeight="1" x14ac:dyDescent="0.35">
      <c r="B24" s="10"/>
      <c r="C24" s="11"/>
      <c r="D24" s="15"/>
      <c r="E24" s="11"/>
      <c r="F24" s="12"/>
      <c r="G24" s="12"/>
      <c r="H24" s="222"/>
      <c r="I24" s="317" t="str">
        <f t="shared" si="0"/>
        <v/>
      </c>
      <c r="J24" s="220"/>
      <c r="K24" s="14"/>
      <c r="L24" s="318"/>
      <c r="M24" s="69"/>
      <c r="N24" s="69"/>
      <c r="O24" s="233"/>
      <c r="P24" s="215"/>
      <c r="Q24" s="13"/>
      <c r="R24" s="254"/>
      <c r="S24" s="69"/>
      <c r="T24" s="69" t="str">
        <f t="shared" si="3"/>
        <v/>
      </c>
      <c r="U24" s="14"/>
      <c r="V24" s="318"/>
      <c r="W24" s="69"/>
      <c r="X24" s="142" t="b">
        <f t="shared" si="4"/>
        <v>0</v>
      </c>
      <c r="Y24" s="319" t="b">
        <f t="shared" si="5"/>
        <v>0</v>
      </c>
    </row>
    <row r="25" spans="2:25" ht="18" customHeight="1" x14ac:dyDescent="0.35">
      <c r="B25" s="10"/>
      <c r="C25" s="11"/>
      <c r="D25" s="15"/>
      <c r="E25" s="11"/>
      <c r="F25" s="12"/>
      <c r="G25" s="12"/>
      <c r="H25" s="222"/>
      <c r="I25" s="317" t="str">
        <f t="shared" si="0"/>
        <v/>
      </c>
      <c r="J25" s="220"/>
      <c r="K25" s="14"/>
      <c r="L25" s="318"/>
      <c r="M25" s="69"/>
      <c r="N25" s="69"/>
      <c r="O25" s="233"/>
      <c r="P25" s="215"/>
      <c r="Q25" s="13"/>
      <c r="R25" s="254"/>
      <c r="S25" s="69"/>
      <c r="T25" s="69" t="str">
        <f t="shared" si="3"/>
        <v/>
      </c>
      <c r="U25" s="14"/>
      <c r="V25" s="318"/>
      <c r="W25" s="69"/>
      <c r="X25" s="142" t="b">
        <f t="shared" si="4"/>
        <v>0</v>
      </c>
      <c r="Y25" s="319" t="b">
        <f t="shared" si="5"/>
        <v>0</v>
      </c>
    </row>
    <row r="26" spans="2:25" ht="18" customHeight="1" x14ac:dyDescent="0.35">
      <c r="B26" s="10"/>
      <c r="C26" s="11"/>
      <c r="D26" s="15"/>
      <c r="E26" s="11"/>
      <c r="F26" s="12"/>
      <c r="G26" s="12"/>
      <c r="H26" s="222"/>
      <c r="I26" s="317" t="str">
        <f t="shared" si="0"/>
        <v/>
      </c>
      <c r="J26" s="220"/>
      <c r="K26" s="14"/>
      <c r="L26" s="318"/>
      <c r="M26" s="69"/>
      <c r="N26" s="69"/>
      <c r="O26" s="233"/>
      <c r="P26" s="215"/>
      <c r="Q26" s="13"/>
      <c r="R26" s="254"/>
      <c r="S26" s="69"/>
      <c r="T26" s="69" t="str">
        <f t="shared" si="3"/>
        <v/>
      </c>
      <c r="U26" s="14"/>
      <c r="V26" s="318"/>
      <c r="W26" s="69"/>
      <c r="X26" s="142" t="b">
        <f t="shared" si="4"/>
        <v>0</v>
      </c>
      <c r="Y26" s="319" t="b">
        <f t="shared" si="5"/>
        <v>0</v>
      </c>
    </row>
    <row r="27" spans="2:25" ht="18" customHeight="1" x14ac:dyDescent="0.35">
      <c r="B27" s="10"/>
      <c r="C27" s="11"/>
      <c r="D27" s="15"/>
      <c r="E27" s="11"/>
      <c r="F27" s="12"/>
      <c r="G27" s="12"/>
      <c r="H27" s="222"/>
      <c r="I27" s="317" t="str">
        <f t="shared" si="0"/>
        <v/>
      </c>
      <c r="J27" s="220"/>
      <c r="K27" s="14"/>
      <c r="L27" s="318"/>
      <c r="M27" s="69"/>
      <c r="N27" s="69"/>
      <c r="O27" s="233"/>
      <c r="P27" s="215"/>
      <c r="Q27" s="13"/>
      <c r="R27" s="254"/>
      <c r="S27" s="69"/>
      <c r="T27" s="69" t="str">
        <f t="shared" si="3"/>
        <v/>
      </c>
      <c r="U27" s="14"/>
      <c r="V27" s="318"/>
      <c r="W27" s="69"/>
      <c r="X27" s="142" t="b">
        <f t="shared" si="4"/>
        <v>0</v>
      </c>
      <c r="Y27" s="319" t="b">
        <f t="shared" si="5"/>
        <v>0</v>
      </c>
    </row>
    <row r="28" spans="2:25" ht="18" customHeight="1" x14ac:dyDescent="0.35">
      <c r="B28" s="10"/>
      <c r="C28" s="11"/>
      <c r="D28" s="15"/>
      <c r="E28" s="11"/>
      <c r="F28" s="12"/>
      <c r="G28" s="12"/>
      <c r="H28" s="222"/>
      <c r="I28" s="317" t="str">
        <f t="shared" si="0"/>
        <v/>
      </c>
      <c r="J28" s="220"/>
      <c r="K28" s="14"/>
      <c r="L28" s="318"/>
      <c r="M28" s="69"/>
      <c r="N28" s="69"/>
      <c r="O28" s="233"/>
      <c r="P28" s="215"/>
      <c r="Q28" s="13"/>
      <c r="R28" s="254"/>
      <c r="S28" s="69"/>
      <c r="T28" s="69"/>
      <c r="U28" s="14"/>
      <c r="V28" s="318"/>
      <c r="W28" s="69"/>
      <c r="X28" s="142" t="b">
        <f t="shared" ref="X28:X33" si="6">AND(OR(LEN(B28)&lt;&gt;0,LEN(D28)&lt;&gt;0,LEN(C28)&lt;&gt;0,LEN(E28)&lt;&gt;0,LEN(F28)&lt;&gt;0,LEN(K28)&lt;&gt;0,LEN(M28)&lt;&gt;0,LEN(N28)&lt;&gt;0,LEN(O28)&lt;&gt;0)=TRUE,Y28=TRUE)</f>
        <v>0</v>
      </c>
      <c r="Y28" s="319" t="b">
        <f t="shared" si="5"/>
        <v>0</v>
      </c>
    </row>
    <row r="29" spans="2:25" ht="18" customHeight="1" x14ac:dyDescent="0.35">
      <c r="B29" s="10"/>
      <c r="C29" s="11"/>
      <c r="D29" s="15"/>
      <c r="E29" s="11"/>
      <c r="F29" s="12"/>
      <c r="G29" s="12"/>
      <c r="H29" s="222"/>
      <c r="I29" s="317" t="str">
        <f t="shared" si="0"/>
        <v/>
      </c>
      <c r="J29" s="220"/>
      <c r="K29" s="14"/>
      <c r="L29" s="318"/>
      <c r="M29" s="69"/>
      <c r="N29" s="69"/>
      <c r="O29" s="233"/>
      <c r="P29" s="215"/>
      <c r="Q29" s="13"/>
      <c r="R29" s="254"/>
      <c r="S29" s="69"/>
      <c r="T29" s="69"/>
      <c r="U29" s="14"/>
      <c r="V29" s="318"/>
      <c r="W29" s="69"/>
      <c r="X29" s="142" t="b">
        <f t="shared" si="6"/>
        <v>0</v>
      </c>
      <c r="Y29" s="319" t="b">
        <f t="shared" si="5"/>
        <v>0</v>
      </c>
    </row>
    <row r="30" spans="2:25" ht="18" customHeight="1" x14ac:dyDescent="0.35">
      <c r="B30" s="10"/>
      <c r="C30" s="11"/>
      <c r="D30" s="15"/>
      <c r="E30" s="11"/>
      <c r="F30" s="12"/>
      <c r="G30" s="12"/>
      <c r="H30" s="222"/>
      <c r="I30" s="317" t="str">
        <f t="shared" si="0"/>
        <v/>
      </c>
      <c r="J30" s="220"/>
      <c r="K30" s="14"/>
      <c r="L30" s="318"/>
      <c r="M30" s="69"/>
      <c r="N30" s="69"/>
      <c r="O30" s="233"/>
      <c r="P30" s="215"/>
      <c r="Q30" s="13"/>
      <c r="R30" s="254"/>
      <c r="S30" s="69"/>
      <c r="T30" s="69"/>
      <c r="U30" s="14"/>
      <c r="V30" s="318"/>
      <c r="W30" s="69"/>
      <c r="X30" s="142" t="b">
        <f t="shared" si="6"/>
        <v>0</v>
      </c>
      <c r="Y30" s="319" t="b">
        <f t="shared" si="5"/>
        <v>0</v>
      </c>
    </row>
    <row r="31" spans="2:25" ht="18" customHeight="1" x14ac:dyDescent="0.35">
      <c r="B31" s="10"/>
      <c r="C31" s="11"/>
      <c r="D31" s="15"/>
      <c r="E31" s="11"/>
      <c r="F31" s="12"/>
      <c r="G31" s="12"/>
      <c r="H31" s="222"/>
      <c r="I31" s="317" t="str">
        <f t="shared" si="0"/>
        <v/>
      </c>
      <c r="J31" s="220"/>
      <c r="K31" s="14"/>
      <c r="L31" s="318"/>
      <c r="M31" s="69"/>
      <c r="N31" s="69"/>
      <c r="O31" s="233"/>
      <c r="P31" s="215"/>
      <c r="Q31" s="13"/>
      <c r="R31" s="254"/>
      <c r="S31" s="69"/>
      <c r="T31" s="69"/>
      <c r="U31" s="14"/>
      <c r="V31" s="318"/>
      <c r="W31" s="69"/>
      <c r="X31" s="142" t="b">
        <f t="shared" si="6"/>
        <v>0</v>
      </c>
      <c r="Y31" s="319" t="b">
        <f t="shared" si="5"/>
        <v>0</v>
      </c>
    </row>
    <row r="32" spans="2:25" ht="18" customHeight="1" x14ac:dyDescent="0.35">
      <c r="B32" s="10"/>
      <c r="C32" s="11"/>
      <c r="D32" s="15"/>
      <c r="E32" s="11"/>
      <c r="F32" s="12"/>
      <c r="G32" s="12"/>
      <c r="H32" s="222"/>
      <c r="I32" s="317" t="str">
        <f t="shared" si="0"/>
        <v/>
      </c>
      <c r="J32" s="220"/>
      <c r="K32" s="14"/>
      <c r="L32" s="318"/>
      <c r="M32" s="69"/>
      <c r="N32" s="69"/>
      <c r="O32" s="233"/>
      <c r="P32" s="215"/>
      <c r="Q32" s="13"/>
      <c r="R32" s="254"/>
      <c r="S32" s="69"/>
      <c r="T32" s="69"/>
      <c r="U32" s="14"/>
      <c r="V32" s="318"/>
      <c r="W32" s="69"/>
      <c r="X32" s="142" t="b">
        <f t="shared" si="6"/>
        <v>0</v>
      </c>
      <c r="Y32" s="319" t="b">
        <f t="shared" si="5"/>
        <v>0</v>
      </c>
    </row>
    <row r="33" spans="1:25" ht="18" customHeight="1" x14ac:dyDescent="0.35">
      <c r="B33" s="10"/>
      <c r="C33" s="11"/>
      <c r="D33" s="15"/>
      <c r="E33" s="11"/>
      <c r="F33" s="12"/>
      <c r="G33" s="12"/>
      <c r="H33" s="222"/>
      <c r="I33" s="317" t="str">
        <f t="shared" si="0"/>
        <v/>
      </c>
      <c r="J33" s="220"/>
      <c r="K33" s="14"/>
      <c r="L33" s="318"/>
      <c r="M33" s="69"/>
      <c r="N33" s="69"/>
      <c r="O33" s="233"/>
      <c r="P33" s="215"/>
      <c r="Q33" s="13"/>
      <c r="R33" s="254"/>
      <c r="S33" s="69"/>
      <c r="T33" s="69"/>
      <c r="U33" s="14"/>
      <c r="V33" s="318"/>
      <c r="W33" s="69"/>
      <c r="X33" s="142" t="b">
        <f t="shared" si="6"/>
        <v>0</v>
      </c>
      <c r="Y33" s="319" t="b">
        <f t="shared" si="5"/>
        <v>0</v>
      </c>
    </row>
    <row r="34" spans="1:25" ht="18" customHeight="1" x14ac:dyDescent="0.35">
      <c r="B34" s="10"/>
      <c r="C34" s="11"/>
      <c r="D34" s="15"/>
      <c r="E34" s="11"/>
      <c r="F34" s="12"/>
      <c r="G34" s="12"/>
      <c r="H34" s="222"/>
      <c r="I34" s="317" t="str">
        <f t="shared" si="0"/>
        <v/>
      </c>
      <c r="J34" s="220"/>
      <c r="K34" s="14"/>
      <c r="L34" s="318"/>
      <c r="M34" s="69"/>
      <c r="N34" s="69"/>
      <c r="O34" s="233"/>
      <c r="P34" s="215"/>
      <c r="Q34" s="13"/>
      <c r="R34" s="254"/>
      <c r="S34" s="69"/>
      <c r="T34" s="69"/>
      <c r="U34" s="14"/>
      <c r="V34" s="318"/>
      <c r="W34" s="69"/>
      <c r="X34" s="142" t="b">
        <f>AND(OR(LEN(B34)&lt;&gt;0,LEN(D34)&lt;&gt;0,LEN(C34)&lt;&gt;0,LEN(E34)&lt;&gt;0,LEN(F34)&lt;&gt;0,LEN(K34)&lt;&gt;0,LEN(M34)&lt;&gt;0,LEN(N34)&lt;&gt;0,LEN(O34)&lt;&gt;0)=TRUE,Y34=TRUE)</f>
        <v>0</v>
      </c>
      <c r="Y34" s="319" t="b">
        <f t="shared" si="5"/>
        <v>0</v>
      </c>
    </row>
    <row r="35" spans="1:25" ht="18" customHeight="1" x14ac:dyDescent="0.35">
      <c r="B35" s="10"/>
      <c r="C35" s="11"/>
      <c r="D35" s="15"/>
      <c r="E35" s="11"/>
      <c r="F35" s="12"/>
      <c r="G35" s="12"/>
      <c r="H35" s="222"/>
      <c r="I35" s="317" t="str">
        <f>IF(H35="","",IF(OR(G35="BAN",G35="CTA"),H35,""))</f>
        <v/>
      </c>
      <c r="J35" s="220"/>
      <c r="K35" s="14"/>
      <c r="L35" s="318"/>
      <c r="M35" s="69"/>
      <c r="N35" s="69"/>
      <c r="O35" s="233"/>
      <c r="P35" s="215"/>
      <c r="Q35" s="13"/>
      <c r="R35" s="254"/>
      <c r="S35" s="69"/>
      <c r="T35" s="69"/>
      <c r="U35" s="14"/>
      <c r="V35" s="318"/>
      <c r="W35" s="69"/>
      <c r="X35" s="142" t="b">
        <f>AND(OR(LEN(B35)&lt;&gt;0,LEN(D35)&lt;&gt;0,LEN(C35)&lt;&gt;0,LEN(E35)&lt;&gt;0,LEN(F35)&lt;&gt;0,LEN(K35)&lt;&gt;0,LEN(M35)&lt;&gt;0,LEN(N35)&lt;&gt;0,LEN(O35)&lt;&gt;0)=TRUE,Y35=TRUE)</f>
        <v>0</v>
      </c>
      <c r="Y35" s="319" t="b">
        <f>IF(OR(G35="CHQ",G35="EFE"),TRUE,IF(AND(OR(G35="V/M",G35="AME"),LEN(J35)&lt;&gt;0),TRUE,IF(AND(OR(G35="CTA",G35="BAN",G35="TAR"),AND(LEN(H35)&lt;&gt;0,LEN(J35)&lt;&gt;0)),TRUE,FALSE)))</f>
        <v>0</v>
      </c>
    </row>
    <row r="36" spans="1:25" ht="18" customHeight="1" x14ac:dyDescent="0.35">
      <c r="B36" s="10"/>
      <c r="C36" s="11"/>
      <c r="D36" s="15"/>
      <c r="E36" s="11"/>
      <c r="F36" s="12"/>
      <c r="G36" s="12"/>
      <c r="H36" s="222"/>
      <c r="I36" s="317" t="str">
        <f>IF(H36="","",IF(OR(G36="BAN",G36="CTA"),H36,""))</f>
        <v/>
      </c>
      <c r="J36" s="220"/>
      <c r="K36" s="14"/>
      <c r="L36" s="318"/>
      <c r="M36" s="69"/>
      <c r="N36" s="69"/>
      <c r="O36" s="233"/>
      <c r="P36" s="215"/>
      <c r="Q36" s="13"/>
      <c r="R36" s="254"/>
      <c r="S36" s="69"/>
      <c r="T36" s="69"/>
      <c r="U36" s="14"/>
      <c r="V36" s="318"/>
      <c r="W36" s="69"/>
      <c r="X36" s="142" t="b">
        <f>AND(OR(LEN(B36)&lt;&gt;0,LEN(D36)&lt;&gt;0,LEN(C36)&lt;&gt;0,LEN(E36)&lt;&gt;0,LEN(F36)&lt;&gt;0,LEN(K36)&lt;&gt;0,LEN(M36)&lt;&gt;0,LEN(N36)&lt;&gt;0,LEN(O36)&lt;&gt;0)=TRUE,Y36=TRUE)</f>
        <v>0</v>
      </c>
      <c r="Y36" s="319" t="b">
        <f>IF(OR(G36="CHQ",G36="EFE"),TRUE,IF(AND(OR(G36="V/M",G36="AME"),LEN(J36)&lt;&gt;0),TRUE,IF(AND(OR(G36="CTA",G36="BAN",G36="TAR"),AND(LEN(H36)&lt;&gt;0,LEN(J36)&lt;&gt;0)),TRUE,FALSE)))</f>
        <v>0</v>
      </c>
    </row>
    <row r="37" spans="1:25" ht="18" customHeight="1" x14ac:dyDescent="0.35">
      <c r="D37" s="320"/>
      <c r="N37" s="321"/>
      <c r="O37" s="321"/>
      <c r="X37" s="142" t="b">
        <f>AND(OR(LEN(B37)&lt;&gt;0,LEN(D37)&lt;&gt;0,LEN(C37)&lt;&gt;0,LEN(E37)&lt;&gt;0,LEN(F37)&lt;&gt;0,LEN(K37)&lt;&gt;0,LEN(M37)&lt;&gt;0,LEN(N37)&lt;&gt;0,LEN(O37)&lt;&gt;0)=TRUE,Y37=TRUE)</f>
        <v>0</v>
      </c>
      <c r="Y37" s="319" t="b">
        <f t="shared" si="5"/>
        <v>0</v>
      </c>
    </row>
    <row r="38" spans="1:25" ht="18" customHeight="1" x14ac:dyDescent="0.35">
      <c r="G38" s="322"/>
      <c r="H38" s="322"/>
      <c r="I38" s="323"/>
      <c r="X38" s="142" t="b">
        <f>AND(OR(LEN(B38)&lt;&gt;0,LEN(D38)&lt;&gt;0,LEN(C38)&lt;&gt;0,LEN(E38)&lt;&gt;0,LEN(F38)&lt;&gt;0,LEN(K38)&lt;&gt;0,LEN(M38)&lt;&gt;0,LEN(N38)&lt;&gt;0,LEN(O38)&lt;&gt;0)=TRUE,Y38=TRUE)</f>
        <v>0</v>
      </c>
      <c r="Y38" s="319" t="b">
        <f t="shared" si="5"/>
        <v>0</v>
      </c>
    </row>
    <row r="39" spans="1:25" ht="18" customHeight="1" x14ac:dyDescent="0.35">
      <c r="A39" s="324"/>
      <c r="B39" s="325"/>
      <c r="C39" s="314"/>
      <c r="D39" s="314"/>
      <c r="E39" s="314"/>
      <c r="F39" s="314"/>
      <c r="G39" s="314"/>
      <c r="H39" s="314"/>
      <c r="I39" s="314"/>
      <c r="J39" s="314"/>
      <c r="K39" s="314"/>
      <c r="L39" s="314"/>
      <c r="M39" s="314"/>
      <c r="N39" s="314"/>
      <c r="O39" s="314"/>
      <c r="P39" s="314"/>
      <c r="Q39" s="314"/>
      <c r="R39" s="314"/>
      <c r="S39" s="314"/>
      <c r="T39" s="314"/>
      <c r="U39" s="314"/>
      <c r="V39" s="314"/>
      <c r="W39" s="324"/>
      <c r="X39" s="324"/>
    </row>
    <row r="40" spans="1:25" ht="18" customHeight="1" x14ac:dyDescent="0.35">
      <c r="A40" s="326"/>
      <c r="B40" s="399"/>
      <c r="C40" s="399"/>
      <c r="D40" s="327"/>
      <c r="E40" s="327"/>
      <c r="F40" s="328"/>
      <c r="G40" s="397"/>
      <c r="H40" s="397"/>
      <c r="I40" s="326"/>
      <c r="J40" s="326"/>
      <c r="K40" s="315"/>
      <c r="L40" s="315"/>
      <c r="M40" s="329"/>
      <c r="N40" s="315"/>
      <c r="O40" s="330"/>
      <c r="P40" s="330"/>
      <c r="Q40" s="330"/>
      <c r="R40" s="330"/>
      <c r="S40" s="330"/>
      <c r="T40" s="330"/>
      <c r="U40" s="330"/>
      <c r="V40" s="330"/>
      <c r="W40" s="330"/>
      <c r="X40" s="330"/>
    </row>
    <row r="41" spans="1:25" ht="18" customHeight="1" x14ac:dyDescent="0.35">
      <c r="A41" s="331"/>
      <c r="B41" s="400"/>
      <c r="C41" s="400"/>
      <c r="D41" s="312"/>
      <c r="E41" s="316"/>
      <c r="F41" s="332"/>
      <c r="G41" s="398"/>
      <c r="H41" s="398"/>
      <c r="I41" s="333"/>
      <c r="J41" s="333"/>
      <c r="K41" s="264"/>
      <c r="L41" s="261"/>
      <c r="M41" s="262"/>
      <c r="N41" s="265"/>
      <c r="O41" s="334"/>
      <c r="P41" s="334"/>
      <c r="Q41" s="334"/>
      <c r="R41" s="334"/>
      <c r="S41" s="334"/>
      <c r="T41" s="334"/>
      <c r="U41" s="334"/>
      <c r="V41" s="334"/>
      <c r="W41" s="334"/>
      <c r="X41" s="334"/>
    </row>
    <row r="42" spans="1:25" ht="18" customHeight="1" x14ac:dyDescent="0.35">
      <c r="J42" s="324"/>
      <c r="K42" s="324"/>
      <c r="L42" s="324"/>
      <c r="M42" s="324"/>
    </row>
    <row r="43" spans="1:25" ht="18" customHeight="1" x14ac:dyDescent="0.35"/>
    <row r="44" spans="1:25" ht="18" customHeight="1" x14ac:dyDescent="0.35">
      <c r="H44" s="322"/>
      <c r="I44" s="323"/>
      <c r="J44" s="323"/>
    </row>
    <row r="45" spans="1:25" ht="18" customHeight="1" x14ac:dyDescent="0.35">
      <c r="B45" s="390"/>
      <c r="C45" s="390"/>
    </row>
    <row r="46" spans="1:25" ht="18" customHeight="1" x14ac:dyDescent="0.35">
      <c r="B46" s="394"/>
      <c r="C46" s="394"/>
    </row>
    <row r="47" spans="1:25" ht="18" customHeight="1" x14ac:dyDescent="0.35"/>
    <row r="48" spans="1:25" ht="18" customHeight="1" x14ac:dyDescent="0.35">
      <c r="G48" s="335"/>
    </row>
    <row r="49" ht="18" customHeight="1" x14ac:dyDescent="0.35"/>
    <row r="50" ht="18" customHeight="1" x14ac:dyDescent="0.35"/>
    <row r="51" ht="18" customHeight="1" x14ac:dyDescent="0.35"/>
    <row r="52" ht="18" customHeight="1" x14ac:dyDescent="0.35"/>
    <row r="53" ht="18" customHeight="1" x14ac:dyDescent="0.35"/>
    <row r="54" ht="18" customHeight="1" x14ac:dyDescent="0.35"/>
    <row r="55" ht="18" customHeight="1" x14ac:dyDescent="0.35"/>
    <row r="56" ht="18" customHeight="1" x14ac:dyDescent="0.35"/>
    <row r="57" ht="18" customHeight="1" x14ac:dyDescent="0.35"/>
  </sheetData>
  <sheetProtection password="EAD8" sheet="1" objects="1" scenarios="1" deleteRows="0" selectLockedCells="1" autoFilter="0"/>
  <dataConsolidate/>
  <mergeCells count="19">
    <mergeCell ref="P8:V8"/>
    <mergeCell ref="B9:C9"/>
    <mergeCell ref="I13:J13"/>
    <mergeCell ref="B11:C11"/>
    <mergeCell ref="C5:I5"/>
    <mergeCell ref="B45:C45"/>
    <mergeCell ref="B8:C8"/>
    <mergeCell ref="B10:C10"/>
    <mergeCell ref="I9:J9"/>
    <mergeCell ref="B46:C46"/>
    <mergeCell ref="E8:F8"/>
    <mergeCell ref="E9:F9"/>
    <mergeCell ref="E10:F10"/>
    <mergeCell ref="E11:F11"/>
    <mergeCell ref="I8:J8"/>
    <mergeCell ref="G40:H40"/>
    <mergeCell ref="G41:H41"/>
    <mergeCell ref="B40:C40"/>
    <mergeCell ref="B41:C41"/>
  </mergeCells>
  <phoneticPr fontId="13" type="noConversion"/>
  <conditionalFormatting sqref="B14:W14 J15:Q15 S15:W15 L18:M20 Q18:Q20 O18:O20 S16:S20 U16:W20 K16:Q17 R15:R21 G20:G27 T16:T27 H16:H27 C17:E33 F15:F33 K18:K34 N18:N34 P18:P34 J16:J34 M28:M34 I14:I34">
    <cfRule type="expression" dxfId="126" priority="576">
      <formula>IF(RESIDUO(ROW(),2)=0,TRUE,FALSE)</formula>
    </cfRule>
  </conditionalFormatting>
  <conditionalFormatting sqref="I14:I34">
    <cfRule type="expression" dxfId="125" priority="575" stopIfTrue="1">
      <formula>OR(G14="EFE",G14="CHQ",G14="AME",G14="TAR",G14="V/M")</formula>
    </cfRule>
  </conditionalFormatting>
  <conditionalFormatting sqref="J14:J34">
    <cfRule type="expression" dxfId="124" priority="574" stopIfTrue="1">
      <formula>OR(G14="EFE",G14="CHQ")</formula>
    </cfRule>
  </conditionalFormatting>
  <conditionalFormatting sqref="G41">
    <cfRule type="expression" dxfId="123" priority="559">
      <formula>IF(RESIDUO(ROW(),2)=0,TRUE,FALSE)</formula>
    </cfRule>
  </conditionalFormatting>
  <conditionalFormatting sqref="F41">
    <cfRule type="expression" dxfId="122" priority="560">
      <formula>IF(RESIDUO(ROW(),2)=0,TRUE,FALSE)</formula>
    </cfRule>
  </conditionalFormatting>
  <conditionalFormatting sqref="L21:M21 S21 U21:W21 Q21 O21">
    <cfRule type="expression" dxfId="121" priority="555">
      <formula>IF(RESIDUO(ROW(),2)=0,TRUE,FALSE)</formula>
    </cfRule>
  </conditionalFormatting>
  <conditionalFormatting sqref="D41">
    <cfRule type="expression" dxfId="120" priority="512">
      <formula>IF(RESIDUO(ROW(),2)=0,TRUE,FALSE)</formula>
    </cfRule>
  </conditionalFormatting>
  <conditionalFormatting sqref="R22">
    <cfRule type="expression" dxfId="119" priority="350">
      <formula>IF(RESIDUO(ROW(),2)=0,TRUE,FALSE)</formula>
    </cfRule>
  </conditionalFormatting>
  <conditionalFormatting sqref="L22:M22 S22 U22:W22 Q22 O22">
    <cfRule type="expression" dxfId="118" priority="348">
      <formula>IF(RESIDUO(ROW(),2)=0,TRUE,FALSE)</formula>
    </cfRule>
  </conditionalFormatting>
  <conditionalFormatting sqref="R23">
    <cfRule type="expression" dxfId="117" priority="346">
      <formula>IF(RESIDUO(ROW(),2)=0,TRUE,FALSE)</formula>
    </cfRule>
  </conditionalFormatting>
  <conditionalFormatting sqref="L23:M23 S23 U23:W23 Q23 O23">
    <cfRule type="expression" dxfId="116" priority="344">
      <formula>IF(RESIDUO(ROW(),2)=0,TRUE,FALSE)</formula>
    </cfRule>
  </conditionalFormatting>
  <conditionalFormatting sqref="R24">
    <cfRule type="expression" dxfId="115" priority="342">
      <formula>IF(RESIDUO(ROW(),2)=0,TRUE,FALSE)</formula>
    </cfRule>
  </conditionalFormatting>
  <conditionalFormatting sqref="L24:M24 S24 U24:W24 Q24 O24">
    <cfRule type="expression" dxfId="114" priority="340">
      <formula>IF(RESIDUO(ROW(),2)=0,TRUE,FALSE)</formula>
    </cfRule>
  </conditionalFormatting>
  <conditionalFormatting sqref="R25">
    <cfRule type="expression" dxfId="113" priority="338">
      <formula>IF(RESIDUO(ROW(),2)=0,TRUE,FALSE)</formula>
    </cfRule>
  </conditionalFormatting>
  <conditionalFormatting sqref="L25:M25 S25 U25:W25 Q25 O25">
    <cfRule type="expression" dxfId="112" priority="336">
      <formula>IF(RESIDUO(ROW(),2)=0,TRUE,FALSE)</formula>
    </cfRule>
  </conditionalFormatting>
  <conditionalFormatting sqref="R26">
    <cfRule type="expression" dxfId="111" priority="326">
      <formula>IF(RESIDUO(ROW(),2)=0,TRUE,FALSE)</formula>
    </cfRule>
  </conditionalFormatting>
  <conditionalFormatting sqref="L26:M26 S26 U26:W26 Q26 O26">
    <cfRule type="expression" dxfId="110" priority="324">
      <formula>IF(RESIDUO(ROW(),2)=0,TRUE,FALSE)</formula>
    </cfRule>
  </conditionalFormatting>
  <conditionalFormatting sqref="R27">
    <cfRule type="expression" dxfId="109" priority="322">
      <formula>IF(RESIDUO(ROW(),2)=0,TRUE,FALSE)</formula>
    </cfRule>
  </conditionalFormatting>
  <conditionalFormatting sqref="L27:M27 S27 U27:W27 Q27 O27">
    <cfRule type="expression" dxfId="108" priority="320">
      <formula>IF(RESIDUO(ROW(),2)=0,TRUE,FALSE)</formula>
    </cfRule>
  </conditionalFormatting>
  <conditionalFormatting sqref="B15:E15 G15:H15 B16:B34">
    <cfRule type="expression" dxfId="107" priority="306">
      <formula>IF(RESIDUO(ROW(),2)=0,TRUE,FALSE)</formula>
    </cfRule>
  </conditionalFormatting>
  <conditionalFormatting sqref="C16:E16 G16 C34">
    <cfRule type="expression" dxfId="106" priority="299">
      <formula>IF(RESIDUO(ROW(),2)=0,TRUE,FALSE)</formula>
    </cfRule>
  </conditionalFormatting>
  <conditionalFormatting sqref="G17">
    <cfRule type="expression" dxfId="105" priority="298">
      <formula>IF(RESIDUO(ROW(),2)=0,TRUE,FALSE)</formula>
    </cfRule>
  </conditionalFormatting>
  <conditionalFormatting sqref="G18">
    <cfRule type="expression" dxfId="104" priority="297">
      <formula>IF(RESIDUO(ROW(),2)=0,TRUE,FALSE)</formula>
    </cfRule>
  </conditionalFormatting>
  <conditionalFormatting sqref="G19">
    <cfRule type="expression" dxfId="103" priority="296">
      <formula>IF(RESIDUO(ROW(),2)=0,TRUE,FALSE)</formula>
    </cfRule>
  </conditionalFormatting>
  <conditionalFormatting sqref="T28 G28:H28">
    <cfRule type="expression" dxfId="102" priority="295">
      <formula>IF(RESIDUO(ROW(),2)=0,TRUE,FALSE)</formula>
    </cfRule>
  </conditionalFormatting>
  <conditionalFormatting sqref="R28">
    <cfRule type="expression" dxfId="101" priority="292">
      <formula>IF(RESIDUO(ROW(),2)=0,TRUE,FALSE)</formula>
    </cfRule>
  </conditionalFormatting>
  <conditionalFormatting sqref="L28 S28 U28:W28 Q28 O28">
    <cfRule type="expression" dxfId="100" priority="291">
      <formula>IF(RESIDUO(ROW(),2)=0,TRUE,FALSE)</formula>
    </cfRule>
  </conditionalFormatting>
  <conditionalFormatting sqref="T29 G29:H29">
    <cfRule type="expression" dxfId="99" priority="289">
      <formula>IF(RESIDUO(ROW(),2)=0,TRUE,FALSE)</formula>
    </cfRule>
  </conditionalFormatting>
  <conditionalFormatting sqref="R29">
    <cfRule type="expression" dxfId="98" priority="286">
      <formula>IF(RESIDUO(ROW(),2)=0,TRUE,FALSE)</formula>
    </cfRule>
  </conditionalFormatting>
  <conditionalFormatting sqref="L29 S29 U29:W29 Q29 O29">
    <cfRule type="expression" dxfId="97" priority="285">
      <formula>IF(RESIDUO(ROW(),2)=0,TRUE,FALSE)</formula>
    </cfRule>
  </conditionalFormatting>
  <conditionalFormatting sqref="T30 G30:H30">
    <cfRule type="expression" dxfId="96" priority="277">
      <formula>IF(RESIDUO(ROW(),2)=0,TRUE,FALSE)</formula>
    </cfRule>
  </conditionalFormatting>
  <conditionalFormatting sqref="R30">
    <cfRule type="expression" dxfId="95" priority="274">
      <formula>IF(RESIDUO(ROW(),2)=0,TRUE,FALSE)</formula>
    </cfRule>
  </conditionalFormatting>
  <conditionalFormatting sqref="L30 S30 U30:W30 Q30 O30">
    <cfRule type="expression" dxfId="94" priority="273">
      <formula>IF(RESIDUO(ROW(),2)=0,TRUE,FALSE)</formula>
    </cfRule>
  </conditionalFormatting>
  <conditionalFormatting sqref="T31 G31:H31">
    <cfRule type="expression" dxfId="93" priority="271">
      <formula>IF(RESIDUO(ROW(),2)=0,TRUE,FALSE)</formula>
    </cfRule>
  </conditionalFormatting>
  <conditionalFormatting sqref="R31">
    <cfRule type="expression" dxfId="92" priority="268">
      <formula>IF(RESIDUO(ROW(),2)=0,TRUE,FALSE)</formula>
    </cfRule>
  </conditionalFormatting>
  <conditionalFormatting sqref="L31 S31 U31:W31 Q31 O31">
    <cfRule type="expression" dxfId="91" priority="267">
      <formula>IF(RESIDUO(ROW(),2)=0,TRUE,FALSE)</formula>
    </cfRule>
  </conditionalFormatting>
  <conditionalFormatting sqref="T32 G32:H32">
    <cfRule type="expression" dxfId="90" priority="265">
      <formula>IF(RESIDUO(ROW(),2)=0,TRUE,FALSE)</formula>
    </cfRule>
  </conditionalFormatting>
  <conditionalFormatting sqref="R32">
    <cfRule type="expression" dxfId="89" priority="262">
      <formula>IF(RESIDUO(ROW(),2)=0,TRUE,FALSE)</formula>
    </cfRule>
  </conditionalFormatting>
  <conditionalFormatting sqref="L32 S32 U32:W32 Q32 O32">
    <cfRule type="expression" dxfId="88" priority="261">
      <formula>IF(RESIDUO(ROW(),2)=0,TRUE,FALSE)</formula>
    </cfRule>
  </conditionalFormatting>
  <conditionalFormatting sqref="T33 G33:H33">
    <cfRule type="expression" dxfId="87" priority="253">
      <formula>IF(RESIDUO(ROW(),2)=0,TRUE,FALSE)</formula>
    </cfRule>
  </conditionalFormatting>
  <conditionalFormatting sqref="R33">
    <cfRule type="expression" dxfId="86" priority="250">
      <formula>IF(RESIDUO(ROW(),2)=0,TRUE,FALSE)</formula>
    </cfRule>
  </conditionalFormatting>
  <conditionalFormatting sqref="L33 S33 U33:W33 Q33 O33">
    <cfRule type="expression" dxfId="85" priority="249">
      <formula>IF(RESIDUO(ROW(),2)=0,TRUE,FALSE)</formula>
    </cfRule>
  </conditionalFormatting>
  <conditionalFormatting sqref="F34">
    <cfRule type="expression" dxfId="84" priority="235">
      <formula>IF(RESIDUO(ROW(),2)=0,TRUE,FALSE)</formula>
    </cfRule>
  </conditionalFormatting>
  <conditionalFormatting sqref="D34:E34">
    <cfRule type="expression" dxfId="83" priority="233">
      <formula>IF(RESIDUO(ROW(),2)=0,TRUE,FALSE)</formula>
    </cfRule>
  </conditionalFormatting>
  <conditionalFormatting sqref="T34 G34:H34">
    <cfRule type="expression" dxfId="82" priority="232">
      <formula>IF(RESIDUO(ROW(),2)=0,TRUE,FALSE)</formula>
    </cfRule>
  </conditionalFormatting>
  <conditionalFormatting sqref="R34">
    <cfRule type="expression" dxfId="81" priority="230">
      <formula>IF(RESIDUO(ROW(),2)=0,TRUE,FALSE)</formula>
    </cfRule>
  </conditionalFormatting>
  <conditionalFormatting sqref="L34 S34 U34:W34 Q34 O34">
    <cfRule type="expression" dxfId="80" priority="229">
      <formula>IF(RESIDUO(ROW(),2)=0,TRUE,FALSE)</formula>
    </cfRule>
  </conditionalFormatting>
  <conditionalFormatting sqref="P35 M35:N35 I35:K35">
    <cfRule type="expression" dxfId="79" priority="40">
      <formula>IF(RESIDUO(ROW(),2)=0,TRUE,FALSE)</formula>
    </cfRule>
  </conditionalFormatting>
  <conditionalFormatting sqref="I35">
    <cfRule type="expression" dxfId="78" priority="39" stopIfTrue="1">
      <formula>OR(G35="EFE",G35="CHQ",G35="AME",G35="TAR",G35="V/M")</formula>
    </cfRule>
  </conditionalFormatting>
  <conditionalFormatting sqref="J35">
    <cfRule type="expression" dxfId="77" priority="38" stopIfTrue="1">
      <formula>OR(G35="EFE",G35="CHQ")</formula>
    </cfRule>
  </conditionalFormatting>
  <conditionalFormatting sqref="B35">
    <cfRule type="expression" dxfId="76" priority="37">
      <formula>IF(RESIDUO(ROW(),2)=0,TRUE,FALSE)</formula>
    </cfRule>
  </conditionalFormatting>
  <conditionalFormatting sqref="C35">
    <cfRule type="expression" dxfId="75" priority="36">
      <formula>IF(RESIDUO(ROW(),2)=0,TRUE,FALSE)</formula>
    </cfRule>
  </conditionalFormatting>
  <conditionalFormatting sqref="F35">
    <cfRule type="expression" dxfId="74" priority="35">
      <formula>IF(RESIDUO(ROW(),2)=0,TRUE,FALSE)</formula>
    </cfRule>
  </conditionalFormatting>
  <conditionalFormatting sqref="D35:E35">
    <cfRule type="expression" dxfId="73" priority="34">
      <formula>IF(RESIDUO(ROW(),2)=0,TRUE,FALSE)</formula>
    </cfRule>
  </conditionalFormatting>
  <conditionalFormatting sqref="T35 G35:H35">
    <cfRule type="expression" dxfId="72" priority="33">
      <formula>IF(RESIDUO(ROW(),2)=0,TRUE,FALSE)</formula>
    </cfRule>
  </conditionalFormatting>
  <conditionalFormatting sqref="R35">
    <cfRule type="expression" dxfId="71" priority="32">
      <formula>IF(RESIDUO(ROW(),2)=0,TRUE,FALSE)</formula>
    </cfRule>
  </conditionalFormatting>
  <conditionalFormatting sqref="L35 S35 U35:W35 Q35 O35">
    <cfRule type="expression" dxfId="70" priority="31">
      <formula>IF(RESIDUO(ROW(),2)=0,TRUE,FALSE)</formula>
    </cfRule>
  </conditionalFormatting>
  <conditionalFormatting sqref="P36 M36:N36 I36:K36">
    <cfRule type="expression" dxfId="69" priority="20">
      <formula>IF(RESIDUO(ROW(),2)=0,TRUE,FALSE)</formula>
    </cfRule>
  </conditionalFormatting>
  <conditionalFormatting sqref="I36">
    <cfRule type="expression" dxfId="68" priority="19" stopIfTrue="1">
      <formula>OR(G36="EFE",G36="CHQ",G36="AME",G36="TAR",G36="V/M")</formula>
    </cfRule>
  </conditionalFormatting>
  <conditionalFormatting sqref="J36">
    <cfRule type="expression" dxfId="67" priority="18" stopIfTrue="1">
      <formula>OR(G36="EFE",G36="CHQ")</formula>
    </cfRule>
  </conditionalFormatting>
  <conditionalFormatting sqref="B36">
    <cfRule type="expression" dxfId="66" priority="17">
      <formula>IF(RESIDUO(ROW(),2)=0,TRUE,FALSE)</formula>
    </cfRule>
  </conditionalFormatting>
  <conditionalFormatting sqref="C36">
    <cfRule type="expression" dxfId="65" priority="16">
      <formula>IF(RESIDUO(ROW(),2)=0,TRUE,FALSE)</formula>
    </cfRule>
  </conditionalFormatting>
  <conditionalFormatting sqref="F36">
    <cfRule type="expression" dxfId="64" priority="15">
      <formula>IF(RESIDUO(ROW(),2)=0,TRUE,FALSE)</formula>
    </cfRule>
  </conditionalFormatting>
  <conditionalFormatting sqref="D36:E36">
    <cfRule type="expression" dxfId="63" priority="14">
      <formula>IF(RESIDUO(ROW(),2)=0,TRUE,FALSE)</formula>
    </cfRule>
  </conditionalFormatting>
  <conditionalFormatting sqref="T36 G36:H36">
    <cfRule type="expression" dxfId="62" priority="13">
      <formula>IF(RESIDUO(ROW(),2)=0,TRUE,FALSE)</formula>
    </cfRule>
  </conditionalFormatting>
  <conditionalFormatting sqref="R36">
    <cfRule type="expression" dxfId="61" priority="12">
      <formula>IF(RESIDUO(ROW(),2)=0,TRUE,FALSE)</formula>
    </cfRule>
  </conditionalFormatting>
  <conditionalFormatting sqref="L36 S36 U36:W36 Q36 O36">
    <cfRule type="expression" dxfId="60" priority="11">
      <formula>IF(RESIDUO(ROW(),2)=0,TRUE,FALSE)</formula>
    </cfRule>
  </conditionalFormatting>
  <dataValidations xWindow="818" yWindow="803" count="49">
    <dataValidation type="date" showInputMessage="1" showErrorMessage="1" errorTitle="ADVERTENCIA" error="Ingrese Fecha de Envío, en formato AAAA/MM/DD. " prompt="Ingrese la fecha del documento / factura. Campo OPCIONAL." sqref="V14" xr:uid="{00000000-0002-0000-0B00-000000000000}">
      <formula1>36892</formula1>
      <formula2>401404</formula2>
    </dataValidation>
    <dataValidation type="list" showInputMessage="1" showErrorMessage="1" errorTitle="ADVERTENCIA" error="Seleccione de la lista desplegable la opción que corresponda." prompt="Seleccione de la lista desplegable la descripción de la operación." sqref="B9:C9" xr:uid="{00000000-0002-0000-0B00-000001000000}">
      <formula1>Operacion</formula1>
    </dataValidation>
    <dataValidation type="date" allowBlank="1" showInputMessage="1" showErrorMessage="1" errorTitle="ADVERTENCIA" error="Ingrese Fecha de Envío, en formato AAAA/MM/DD. _x000a__x000a_* Valide que el campo anterior este completado." prompt="Ingrese Fecha de Envío, en formato AAAA/MM/DD." sqref="N41 N10:N11 E11:F11" xr:uid="{00000000-0002-0000-0B00-000002000000}">
      <formula1>TODAY()</formula1>
      <formula2>401404</formula2>
    </dataValidation>
    <dataValidation type="textLength" operator="lessThanOrEqual" showInputMessage="1" showErrorMessage="1" errorTitle="ADVERTENCIA" error="Seleccione de la lista desplegable la opción que corresponda." sqref="B46:C46" xr:uid="{00000000-0002-0000-0B00-000003000000}">
      <formula1>99</formula1>
    </dataValidation>
    <dataValidation type="whole" showInputMessage="1" showErrorMessage="1" errorTitle="ADVERTENCIA" error="Ingrese un N° de Lote / Referencia Débito válido. Campo numérico de 9 dígitos._x000a__x000a_* Valide que el campo anterior este completado." prompt="Ingrese un N° de Lote / Referencia Débito." sqref="L41:M41 L10:M11" xr:uid="{00000000-0002-0000-0B00-000004000000}">
      <formula1>IF(LEN(#REF!)=0,999999999,0)</formula1>
      <formula2>IF(LEN(#REF!)=0,0,999999999)</formula2>
    </dataValidation>
    <dataValidation type="whole" showInputMessage="1" showErrorMessage="1" errorTitle="ADVETENCIA" error="Ingrese un N° de C.I. / R.I.F. válido. (9 dígitos)._x000a__x000a_* Valide que el campo anterior este completado." sqref="I10:I11" xr:uid="{00000000-0002-0000-0B00-000005000000}">
      <formula1>IF(LEN(#REF!)=0,999999999,0)</formula1>
      <formula2>IF(LEN(#REF!)=0,0,999999999)</formula2>
    </dataValidation>
    <dataValidation type="custom" operator="equal" showInputMessage="1" showErrorMessage="1" errorTitle="ADVERTENCIA" error="Campo Numérico de 17 posiciones._x000a__x000a_* Valide que el campo anterior este completado." sqref="J10:J11" xr:uid="{00000000-0002-0000-0B00-000006000000}">
      <formula1>IF(LEN(#REF!)=0,0,SUMPRODUCT(N(SEARCH(MID(J10,ROW(INDIRECT("1:"&amp;LEN(99999999999999900))),1),"0123456789")&gt;0))=LEN(J10))</formula1>
    </dataValidation>
    <dataValidation type="whole" operator="lessThanOrEqual" showInputMessage="1" showErrorMessage="1" errorTitle="ADVERTENCIA" error="Campo numérico de 6 posiciones._x000a__x000a_* Valide que el campo anterior este completado." prompt="Los datos se calculan automáticamente." sqref="P10:Q11" xr:uid="{00000000-0002-0000-0B00-000007000000}">
      <formula1>IF(OR(LEN(B12)=0,LEN(D12)=0),0,999999)</formula1>
    </dataValidation>
    <dataValidation allowBlank="1" showInputMessage="1" showErrorMessage="1" errorTitle="ADVERTENCIA" error="Campo númerico de 15 posiciones enteros y 2 decimales." prompt="Los datos se calculan automáticamente." sqref="R10:R11 I9" xr:uid="{00000000-0002-0000-0B00-000008000000}"/>
    <dataValidation type="list" showInputMessage="1" showErrorMessage="1" errorTitle="ADVERTENCIA" error="Seleccione de la lista desplegable la opción que corresponda._x000a__x000a_* Valide que el campo anterior este completado." prompt="Seleccione de la lista desplegable el tipo de persona." sqref="D9" xr:uid="{00000000-0002-0000-0B00-000009000000}">
      <formula1>IF(LEN(B9)=0,_Null,Tipo_Persona_encabezado)</formula1>
    </dataValidation>
    <dataValidation type="whole" operator="lessThanOrEqual" showInputMessage="1" showErrorMessage="1" errorTitle="ADVERTENCIA" error="Campo numérico de 6 posiciones._x000a__x000a_* Valide que el campo anterior este completado." prompt="Los datos se calculan automáticamente." sqref="H9" xr:uid="{00000000-0002-0000-0B00-00000A000000}">
      <formula1>IF(OR(LEN(D11)=0,LEN(E11)=0),0,999999)</formula1>
    </dataValidation>
    <dataValidation type="custom" operator="equal" showInputMessage="1" showErrorMessage="1" errorTitle="ADVERTENCIA" error="Campo Numérico de 17 posiciones._x000a__x000a_* Valide que el campo anterior este completado." prompt="Ingrese N° de contrato._x000a__x000a_Campo numérico de 17 dígitos._x000a__x000a_" sqref="B11:C11" xr:uid="{00000000-0002-0000-0B00-00000B000000}">
      <formula1>IF(LEN(E9)=0,0,SUMPRODUCT(N(SEARCH(MID(B11,ROW(INDIRECT("1:"&amp;LEN(99999999999999900))),1),"0123456789")&gt;0))=LEN(B11))</formula1>
    </dataValidation>
    <dataValidation type="whole" showInputMessage="1" showErrorMessage="1" errorTitle="ADVERTENCIA" error="Ingrese un N° de Lote / Referencia Débito válido. Campo numérico de 9 dígitos._x000a__x000a_* Valide que el campo anterior este completado." prompt="Ingrese un N° de Lote / Referencia Débito._x000a__x000a_Campo numérico de 9 dígitos._x000a_" sqref="D11" xr:uid="{00000000-0002-0000-0B00-00000C000000}">
      <formula1>IF(LEN(B11)=0,999999999,0)</formula1>
      <formula2>IF(LEN(B11)=0,0,999999999)</formula2>
    </dataValidation>
    <dataValidation type="date" allowBlank="1" showInputMessage="1" showErrorMessage="1" errorTitle="ADVERTENCIA" error="Ingrese Fecha de Envío, en formato AAAA/MM/DD. _x000a__x000a_* Valide que el campo anterior este completado." prompt="Ingrese Fecha de Envío, en formato AAAA/MM/DD." sqref="O10:O11" xr:uid="{00000000-0002-0000-0B00-00000D000000}">
      <formula1>36892</formula1>
      <formula2>401404</formula2>
    </dataValidation>
    <dataValidation allowBlank="1" showInputMessage="1" showErrorMessage="1" errorTitle="ADVERTENCIA" error="Campo númerico de 15 posiciones enteros y 2 decimales." sqref="U10:U11" xr:uid="{00000000-0002-0000-0B00-00000E000000}"/>
    <dataValidation type="custom" operator="equal" showInputMessage="1" showErrorMessage="1" errorTitle="ADVERTENCIA" error="Campo Numérico de 17 posiciones._x000a__x000a_* Valide que el campo anterior este completado." sqref="K41" xr:uid="{00000000-0002-0000-0B00-00000F000000}">
      <formula1>IF(LEN(G41)=0,0,SUMPRODUCT(N(SEARCH(MID(K41,ROW(INDIRECT("1:"&amp;LEN(99999999999999900))),1),"0123456789")&gt;0))=LEN(K41))</formula1>
    </dataValidation>
    <dataValidation type="date" showInputMessage="1" showErrorMessage="1" errorTitle="ADVERTENCIA" error="Ingrese Fecha de Envío, en formato AAAA/MM/DD. " prompt="Ingrese Fecha de Factura, en formato AAAA/MM/DD." sqref="F41" xr:uid="{00000000-0002-0000-0B00-000010000000}">
      <formula1>36892</formula1>
      <formula2>401404</formula2>
    </dataValidation>
    <dataValidation type="decimal" allowBlank="1" showInputMessage="1" showErrorMessage="1" errorTitle="ADVERTENCIA" error="Campo númerico de 13 posiciones enteros y 2 decimales." prompt="Coloque el monto de la factura." sqref="D41" xr:uid="{00000000-0002-0000-0B00-000011000000}">
      <formula1>0</formula1>
      <formula2>9999999999999</formula2>
    </dataValidation>
    <dataValidation type="textLength" operator="lessThanOrEqual" allowBlank="1" showInputMessage="1" showErrorMessage="1" errorTitle="ADVERTENCIA" error="Campo Alfanúmerico, longitud máxima de 20 posiciones._x000a_" prompt="Ingrese número de factura o documento._x000a_" sqref="B41:C41" xr:uid="{00000000-0002-0000-0B00-000012000000}">
      <formula1>20</formula1>
    </dataValidation>
    <dataValidation type="decimal" showInputMessage="1" showErrorMessage="1" errorTitle="ADVERTENCIA" error="Campo númerico de 13 posiciones enteros y 2 decimales." prompt="Ingrese el monto que se retendrá por causa de impuesto de la operación." sqref="G41:H41" xr:uid="{00000000-0002-0000-0B00-000013000000}">
      <formula1>0</formula1>
      <formula2>9999999999999</formula2>
    </dataValidation>
    <dataValidation type="list" showInputMessage="1" showErrorMessage="1" prompt="Valide que los Datos de la operación esten debidamente completados." sqref="B14" xr:uid="{00000000-0002-0000-0B00-000014000000}">
      <formula1>IF(X10=TRUE,_Null,T_Persona)</formula1>
    </dataValidation>
    <dataValidation type="whole" showInputMessage="1" showErrorMessage="1" errorTitle="ADVETENCIA" error="Ingrese un N° de C.I. / R.I.F. válido. (9 dígitos)._x000a__x000a_* Valide que el campo anterior este completado." prompt="Ingrese un N° de C.I. / R.I.F. válido. (9 dígitos)." sqref="E9:F9" xr:uid="{00000000-0002-0000-0B00-000015000000}">
      <formula1>IF(LEN($D9)=0,999999999,0)</formula1>
      <formula2>IF(LEN($D9)=0,0,999999999)</formula2>
    </dataValidation>
    <dataValidation type="whole" allowBlank="1" showInputMessage="1" showErrorMessage="1" errorTitle="ADVERTENCIA" error="Ingrese un N° Referencia válido. (9 dígitos)" prompt="Ingrese la Referencia de la Operación de Pago._x000a__x000a_Campo numérico de 9 dígitos." sqref="E14" xr:uid="{00000000-0002-0000-0B00-000016000000}">
      <formula1>0</formula1>
      <formula2>999999999</formula2>
    </dataValidation>
    <dataValidation type="textLength" showInputMessage="1" showErrorMessage="1" errorTitle="ADVERTENCIA" error="Campo alfanumérico de 20 posiciones._x000a__x000a_* Valide que el campo anterior este completado." prompt="Ingrese el N° de Factura correspondiente al Pago (referencia para el cliente)._x000a__x000a_Campo OPCIONAL." sqref="R14" xr:uid="{00000000-0002-0000-0B00-000017000000}">
      <formula1>IF(LEN(P14)=0,20,0)</formula1>
      <formula2>IF(LEN(P14)=0,0,20)</formula2>
    </dataValidation>
    <dataValidation type="decimal" allowBlank="1" showInputMessage="1" showErrorMessage="1" errorTitle="ADVERTENCIA" error="Campo númerico de 13 posiciones enteros y 2 decimales." prompt="Coloque el Monto de la Fatura._x000a__x000a_Campo OPCIONAL." sqref="S14" xr:uid="{00000000-0002-0000-0B00-000018000000}">
      <formula1>0</formula1>
      <formula2>9999999999999</formula2>
    </dataValidation>
    <dataValidation type="date" showInputMessage="1" showErrorMessage="1" errorTitle="ADVERTENCIA" error="Ingrese Fecha de Envío, en formato AAAA/MM/DD. " prompt="Ingrese la fecha del documento / factura._x000a__x000a_Campo OPCIONAL." sqref="U14" xr:uid="{00000000-0002-0000-0B00-000019000000}">
      <formula1>36892</formula1>
      <formula2>401404</formula2>
    </dataValidation>
    <dataValidation type="list" showInputMessage="1" showErrorMessage="1" prompt="Valide que la línea anterior este debidamente completada." sqref="B15:B36" xr:uid="{00000000-0002-0000-0B00-00001A000000}">
      <formula1>IF(X14=FALSE,_Null,T_Persona)</formula1>
    </dataValidation>
    <dataValidation type="textLength" operator="lessThanOrEqual" allowBlank="1" showInputMessage="1" showErrorMessage="1" errorTitle="ADVERTENCIA" error="Campo alfanumérico de 40 posiciones." prompt="Coloque la dirección de correo electrónico del beneficiario. _x000a__x000a_Campo  OPCIONAL." sqref="P14:P36" xr:uid="{00000000-0002-0000-0B00-00001B000000}">
      <formula1>40</formula1>
    </dataValidation>
    <dataValidation type="date" showInputMessage="1" showErrorMessage="1" errorTitle="ADVERTENCIA" error="Ingrese Fecha de Envío, en formato AAAA/MM/DD. _x000a__x000a_* Valide que el campo anterior este completado." prompt="Ingrese fecha valor  (fecha a efectuar el pago), en formato AAAA/MM/DD." sqref="K14:K36" xr:uid="{00000000-0002-0000-0B00-00001C000000}">
      <formula1>TODAY()</formula1>
      <formula2>401404</formula2>
    </dataValidation>
    <dataValidation type="custom" showInputMessage="1" showErrorMessage="1" errorTitle="ADVERTENCIA" error="Campo de numérico de 11 posiciones." prompt="Indique el número de teléfono celular del beneficiario. _x000a__x000a_Campo OPCIONAL." sqref="Q14:Q36" xr:uid="{00000000-0002-0000-0B00-00001D000000}">
      <formula1>SUMPRODUCT(N(SEARCH(MID(Q14,ROW(INDIRECT("1:"&amp;LEN(99999999999))),1),"0123456789")&gt;0))=LEN(Q14)</formula1>
    </dataValidation>
    <dataValidation showInputMessage="1" showErrorMessage="1" errorTitle="ADVERTENCIA" error="Ingrese Fecha de Envío, en formato AAAA/MM/DD. _x000a__x000a_* Valide que el campo anterior este completado." prompt="Ingrese Fecha Valor, en formato AAAA/MM/DD." sqref="L14:L36 V15:V36" xr:uid="{00000000-0002-0000-0B00-00001E000000}"/>
    <dataValidation type="decimal" allowBlank="1" showInputMessage="1" showErrorMessage="1" errorTitle="ADVERTENCIA" error="Campo númerico de 13 posiciones enteros y 2 decimales." prompt="Coloque el Monto de la Fatura._x000a__x000a_ Campo OPCIONAL." sqref="S15:S36" xr:uid="{00000000-0002-0000-0B00-00001F000000}">
      <formula1>0</formula1>
      <formula2>9999999999999</formula2>
    </dataValidation>
    <dataValidation type="decimal" allowBlank="1" showInputMessage="1" showErrorMessage="1" errorTitle="ADVERTENCIA" error="Campo númerico de 13 posiciones enteros y 2 decimales." prompt="Ingrese el monto que se retendrá por causa de impuesto de la factura. _x000a__x000a_Campo OPCIONAL." sqref="W14:W36" xr:uid="{00000000-0002-0000-0B00-000020000000}">
      <formula1>0</formula1>
      <formula2>9999999999999</formula2>
    </dataValidation>
    <dataValidation type="decimal" allowBlank="1" showInputMessage="1" showErrorMessage="1" errorTitle="ADVERTENCIA" error="Campo númerico de 13 posiciones enteros y 2 decimales." prompt="Coloque el monto de la operación." sqref="M14:M36" xr:uid="{00000000-0002-0000-0B00-000021000000}">
      <formula1>0</formula1>
      <formula2>9999999999999</formula2>
    </dataValidation>
    <dataValidation type="decimal" showInputMessage="1" showErrorMessage="1" errorTitle="ADVERTENCIA" error="Campo númerico de 13 posiciones enteros y 2 decimales." prompt="Ingrese el monto que se retendrá por causa de impuesto de la operación. _x000a__x000a_Campo OPCIONAL." sqref="N14:N36" xr:uid="{00000000-0002-0000-0B00-000022000000}">
      <formula1>0</formula1>
      <formula2>9999999999999</formula2>
    </dataValidation>
    <dataValidation type="custom" operator="lessThanOrEqual" allowBlank="1" showInputMessage="1" showErrorMessage="1" errorTitle="ADVERTENCIA" error="Campo OBLIGATORIO de 30 posiciones alfanumérico." prompt="Coloque la descripción personalizada para la Operación. _x000a__x000a_Campo de llenado OBLIGATORIO." sqref="F14:F36" xr:uid="{00000000-0002-0000-0B00-000023000000}">
      <formula1>IF(LEN(F14)&lt;=30,SUMPRODUCT(N(SEARCH(MID(F14,ROW(INDIRECT("1:"&amp;LEN(F14))),1),"AÁBCDEÉFGHIÍJKLMNOÓPQRSTUÚVWXYZ0123456789,. ")&gt;0))=LEN(F14),0)</formula1>
    </dataValidation>
    <dataValidation type="whole" allowBlank="1" showInputMessage="1" showErrorMessage="1" errorTitle="ADVERTENCIA" error="Ingrese un N° Referencia válido. (9 dígitos)" prompt="Ingrese la Referencia de la Operación de Pago." sqref="E15:E36" xr:uid="{00000000-0002-0000-0B00-000024000000}">
      <formula1>0</formula1>
      <formula2>999999999</formula2>
    </dataValidation>
    <dataValidation type="textLength" operator="lessThanOrEqual" allowBlank="1" showInputMessage="1" showErrorMessage="1" errorTitle="ADVERTENCIA" error="Campo alfanumérico de 40 posiciones._x000a__x000a_* Debe contener dirección de correo electrónico válida." prompt="Coloque la dirección de correo electrónico del beneficiario. Campo  OPCIONAL." sqref="O14:O36" xr:uid="{00000000-0002-0000-0B00-000025000000}">
      <formula1>IF(ISERROR(FIND("@",O14,1)),0,40)</formula1>
    </dataValidation>
    <dataValidation type="date" showInputMessage="1" showErrorMessage="1" errorTitle="ADVERTENCIA" error="Ingrese Fecha de Envío, en formato AAAA/MM/DD. " prompt="Ingrese la fecha del documento / factura._x000a__x000a_ Campo OPCIONAL." sqref="U15:U36" xr:uid="{00000000-0002-0000-0B00-000026000000}">
      <formula1>36892</formula1>
      <formula2>401404</formula2>
    </dataValidation>
    <dataValidation allowBlank="1" showInputMessage="1" showErrorMessage="1" errorTitle="ADVERTENCIA" error="Campo númerico de 13 posiciones enteros y 2 decimales." prompt="Se muestra automaticamente el tipo de moneda._x000a__x000a_Campo OPCIONAL." sqref="T14:T36" xr:uid="{00000000-0002-0000-0B00-000027000000}"/>
    <dataValidation type="list" showInputMessage="1" showErrorMessage="1" errorTitle="ADVERTENCIA" error="Seleccione de la lista desplegable la opción que corresponda. * Valide que el campo anterior este completado." promptTitle="Indique la Modalidad en la cual" prompt="se realizará el Pago:_x000a_CTA= Cuenta mismo Banco_x000a_BAN= Cuenta otro Banco_x000a_CHQ= Cheque de Gerencia_x000a_EFE = Efectivo_x000a_TAR= TC Visa/Master/Amex otro Banco_x000a_V/M = TC Visa / Master mismo Banco, si el beneficiario no está registrado" sqref="G14:G36" xr:uid="{00000000-0002-0000-0B00-000028000000}">
      <formula1>IF(LEN(F14)=0,_Null,Modalidad)</formula1>
    </dataValidation>
    <dataValidation type="textLength" operator="equal" showInputMessage="1" showErrorMessage="1" errorTitle="ADVERTENCIA" error="Ingrese Código de Banco correcto. Ej.: 0116._x000a__x000a_Modalidad de Pago CHQ, EFE o V/M, no requieren Código de Banco._x000a__x000a_* Valide que el campo anterior este completado." prompt="Indique el código del banco correspondiente a la Cuenta donde se acreditará el pago.   Ej.: 0116." sqref="H14:H36" xr:uid="{00000000-0002-0000-0B00-000029000000}">
      <formula1>IF(OR(G14="CTA",G14="BAN",G14="TAR"),4,0)</formula1>
    </dataValidation>
    <dataValidation type="custom" operator="equal" showInputMessage="1" showErrorMessage="1" errorTitle="ADVERTENCIA" error="Campo numérico de llenado OBLIGATORIO de 15 digitos para Amex y 16 digitos para Cuentas, Tarjetas Visa y Master Card._x000a__x000a_* Valide que el campo anterior este completado." prompt="Indique el Número de la Cuenta, en la cual se acreditará el pago.     Campo de llenado OBLIGATORIO sólo para los casos de Abono en cuenta del mismo banco, otros bancos y TDC." sqref="J14:J36" xr:uid="{00000000-0002-0000-0B00-00002A000000}">
      <formula1>IF(IF(OR(G14="CTA",G14="BAN",G14="V/M"),LEN(J14)=16,IF(G14="TAR",OR(LEN(J14)=15,LEN(J14)=16),IF(G14="AME",LEN(J14)=15))),SUMPRODUCT(N(SEARCH(MID(J14,ROW(INDIRECT("1:"&amp;LEN(J14))),1),"0123456789")&gt;0))=LEN(J14),0)</formula1>
    </dataValidation>
    <dataValidation type="whole" showInputMessage="1" showErrorMessage="1" errorTitle="ADVETENCIA" error="Ingrese un N° de C.I. / R.I.F. válido. (9 dígitos)._x000a__x000a_* Valide que el campo anterior este completado." prompt="Coloque el número de identificación (Cédula de Identidad o R.I.F.) del beneficiario " sqref="C14:C36" xr:uid="{00000000-0002-0000-0B00-00002B000000}">
      <formula1>IF(LEN(B14)=0,999999999,0)</formula1>
      <formula2>IF(LEN(B14)=0,0,999999999)</formula2>
    </dataValidation>
    <dataValidation type="custom" showInputMessage="1" showErrorMessage="1" errorTitle="ADVERTENCIA" error="Campo alfanumérico de 60 posiciones. No acepta &quot;Ñ&quot; ni caracteres especiales. _x000a__x000a_* Valide que el campo anterior este completado." prompt="Coloque el Nombre Completo o Razón Social del Beneficiario. No acepta &quot;Ñ&quot; ni caracteres especiales." sqref="D14:D36" xr:uid="{00000000-0002-0000-0B00-00002C000000}">
      <formula1>IF(AND(LEN(C14)&lt;&gt;0,LEN(D14)&lt;=60),SUMPRODUCT(N(SEARCH(MID(D14,ROW(INDIRECT("1:"&amp;LEN(D14))),1),"AÁBCDEÉFGHIÍJKLMNOÓPQRSTUÚVWXYZ0123456789,. ")&gt;0))=LEN(D14),0)</formula1>
    </dataValidation>
    <dataValidation type="textLength" showInputMessage="1" showErrorMessage="1" errorTitle="ADVERTENCIA" error="Campo alfanumérico de 20 posiciones._x000a__x000a_* Valide que el campo anterior este completado." prompt="Ingrese el N° de Factura correspondiente al Pago (referencia para el cliente)._x000a__x000a_ Campo OPCIONAL." sqref="R15:R36" xr:uid="{00000000-0002-0000-0B00-00002D000000}">
      <formula1>IF(LEN(P15)=0,20,0)</formula1>
      <formula2>IF(LEN(P15)=0,0,20)</formula2>
    </dataValidation>
    <dataValidation type="list" showErrorMessage="1" errorTitle="ADVERTENCIA" error="Seleccione de la lista desplegable la opción que corresponda. * Valide que el campo anterior este completado." promptTitle="Indique la Modalidad en la cual" prompt="se realizará el Pago:_x000a_CTA= Cuenta mismo Banco_x000a_BAN= Cuenta otro Banco_x000a_CHQ= Cheque de Gerencia_x000a_EFE = Efectivo_x000a_TAR= TC Visa/Master/Amex otro Banco_x000a_V/M = TC Visa / Master mismo Banco, si el beneficiario no está registrado" sqref="G15:G36" xr:uid="{00000000-0002-0000-0B00-00002E000000}">
      <formula1>IF(LEN(F15)=0,_Null,Modalidad)</formula1>
    </dataValidation>
    <dataValidation type="custom" operator="equal" showErrorMessage="1" errorTitle="ADVERTENCIA" error="Campo numérico de llenado OBLIGATORIO de 15 digitos para Amex y 16 digitos para Cuentas, Tarjetas Visa y Master Card._x000a__x000a_* Valide que el campo anterior este completado." prompt="Indique el Número de la Cuenta, en la cual se acreditará el pago.     Campo de llenado OBLIGATORIO sólo para los casos de Abono en cuenta del mismo banco, otros bancos y TDC." sqref="J15:J36" xr:uid="{00000000-0002-0000-0B00-00002F000000}">
      <formula1>IF(IF(OR(G15="CTA",G15="BAN",G15="V/M"),LEN(J15)=16,IF(G15="TAR",OR(LEN(J15)=15,LEN(J15)=16),IF(G15="AME",LEN(J15)=15))),SUMPRODUCT(N(SEARCH(MID(J15,ROW(INDIRECT("1:"&amp;LEN(J15))),1),"0123456789")&gt;0))=LEN(J15),0)</formula1>
    </dataValidation>
    <dataValidation type="custom" operator="equal" showErrorMessage="1" errorTitle="ADVERTENCIA" error="No se pueden escribir valores en esta celda._x000a__x000a_* Valide que el campo anterior este completado." prompt="Indique el código del banco correspondiente a la Cuenta donde se acreditará el pago.   Ej.: 0116." sqref="I14:I36" xr:uid="{00000000-0002-0000-0B00-000030000000}">
      <formula1>IF(H14="","",IF(OR(G14="BAN",G14="CTA"),H14,""))</formula1>
    </dataValidation>
  </dataValidations>
  <pageMargins left="0.27559055118110237" right="0.23622047244094491" top="0.51181102362204722" bottom="0.59055118110236227" header="0.31496062992125984" footer="0.31496062992125984"/>
  <pageSetup scale="43" orientation="landscape" verticalDpi="1200" r:id="rId1"/>
  <headerFooter>
    <oddFooter>&amp;L&amp;"Trebuchet MS,Normal"&amp;7&amp;K00-049EN-CP-E-0036-17
B.O.D, BANCO UNIVERSAL C.A. RIF J-30061946-0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9">
    <pageSetUpPr fitToPage="1"/>
  </sheetPr>
  <dimension ref="A1:IS34"/>
  <sheetViews>
    <sheetView showGridLines="0" showRowColHeaders="0" zoomScaleNormal="100" workbookViewId="0">
      <selection activeCell="A10" sqref="A10:C10"/>
    </sheetView>
  </sheetViews>
  <sheetFormatPr baseColWidth="10" defaultColWidth="11.42578125" defaultRowHeight="15" x14ac:dyDescent="0.35"/>
  <cols>
    <col min="1" max="1" width="11.42578125" style="7"/>
    <col min="2" max="2" width="13.85546875" style="7" customWidth="1"/>
    <col min="3" max="3" width="31.140625" style="8" customWidth="1"/>
    <col min="4" max="4" width="12.28515625" style="7" customWidth="1"/>
    <col min="5" max="5" width="17.42578125" style="8" customWidth="1"/>
    <col min="6" max="6" width="18.7109375" style="8" customWidth="1"/>
    <col min="7" max="7" width="30.85546875" style="7" customWidth="1"/>
    <col min="8" max="8" width="12.7109375" style="7" customWidth="1"/>
    <col min="9" max="9" width="13.42578125" style="7" customWidth="1"/>
    <col min="10" max="10" width="12.140625" style="7" hidden="1" customWidth="1"/>
    <col min="11" max="11" width="20.42578125" style="7" customWidth="1"/>
    <col min="12" max="12" width="19.42578125" style="7" customWidth="1"/>
    <col min="13" max="13" width="20.140625" style="7" customWidth="1"/>
    <col min="14" max="14" width="19.85546875" style="7" customWidth="1"/>
    <col min="15" max="15" width="12" style="7" customWidth="1"/>
    <col min="16" max="16" width="14.5703125" style="7" customWidth="1"/>
    <col min="17" max="17" width="12.7109375" style="7" customWidth="1"/>
    <col min="18" max="18" width="11.28515625" style="7" customWidth="1"/>
    <col min="19" max="19" width="17.7109375" style="7" customWidth="1"/>
    <col min="20" max="20" width="22.28515625" style="7" customWidth="1"/>
    <col min="21" max="21" width="20.140625" style="7" customWidth="1"/>
    <col min="22" max="22" width="17.28515625" style="7" customWidth="1"/>
    <col min="23" max="23" width="19.28515625" style="7" customWidth="1"/>
    <col min="24" max="24" width="10.7109375" style="7" customWidth="1"/>
    <col min="25" max="16384" width="11.42578125" style="7"/>
  </cols>
  <sheetData>
    <row r="1" spans="1:253" ht="2.25" customHeight="1" x14ac:dyDescent="0.35">
      <c r="A1" s="419"/>
      <c r="B1" s="419"/>
      <c r="C1" s="419"/>
      <c r="D1" s="419"/>
      <c r="E1" s="419"/>
      <c r="F1" s="419"/>
      <c r="G1" s="419"/>
      <c r="H1" s="419"/>
      <c r="I1" s="419"/>
      <c r="J1" s="419"/>
      <c r="K1" s="419"/>
      <c r="L1" s="17"/>
      <c r="M1" s="17"/>
      <c r="N1" s="17"/>
      <c r="O1" s="17"/>
      <c r="P1" s="17"/>
      <c r="Q1" s="17"/>
      <c r="R1" s="17"/>
      <c r="S1" s="17"/>
      <c r="T1" s="219">
        <v>1</v>
      </c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IS1" s="142" t="s">
        <v>288</v>
      </c>
    </row>
    <row r="2" spans="1:253" ht="12" customHeight="1" x14ac:dyDescent="0.35">
      <c r="B2" s="19"/>
      <c r="D2"/>
      <c r="E2" s="19"/>
      <c r="F2"/>
      <c r="G2" s="19"/>
      <c r="H2" s="20"/>
      <c r="I2" s="20"/>
      <c r="J2" s="20"/>
      <c r="K2" s="16"/>
      <c r="L2" s="18"/>
      <c r="M2" s="18"/>
      <c r="W2" s="17"/>
      <c r="X2" s="17"/>
      <c r="Y2" s="17"/>
      <c r="Z2" s="17"/>
      <c r="AA2" s="17"/>
      <c r="AB2" s="17"/>
      <c r="AC2" s="17"/>
      <c r="AD2" s="17"/>
      <c r="AE2" s="16"/>
      <c r="AF2" s="16"/>
    </row>
    <row r="3" spans="1:253" s="1" customFormat="1" ht="16.5" x14ac:dyDescent="0.3">
      <c r="C3" s="4"/>
      <c r="E3" s="4"/>
      <c r="F3" s="4"/>
      <c r="T3" s="6">
        <v>1</v>
      </c>
    </row>
    <row r="4" spans="1:253" s="1" customFormat="1" ht="16.5" x14ac:dyDescent="0.3">
      <c r="C4" s="4"/>
      <c r="E4" s="4"/>
      <c r="F4" s="4"/>
    </row>
    <row r="5" spans="1:253" s="1" customFormat="1" ht="18" x14ac:dyDescent="0.35">
      <c r="C5" s="420" t="s">
        <v>304</v>
      </c>
      <c r="D5" s="420"/>
      <c r="E5" s="420"/>
      <c r="F5" s="420"/>
      <c r="G5" s="420"/>
      <c r="H5" s="420"/>
      <c r="I5" s="420"/>
      <c r="J5" s="420"/>
      <c r="K5" s="420"/>
      <c r="L5" s="420"/>
      <c r="M5" s="420"/>
      <c r="N5" s="420"/>
      <c r="O5" s="420"/>
      <c r="P5" s="420"/>
      <c r="Q5" s="420"/>
      <c r="R5" s="420"/>
    </row>
    <row r="6" spans="1:253" s="1" customFormat="1" ht="16.5" x14ac:dyDescent="0.3">
      <c r="C6" s="4"/>
      <c r="E6" s="4"/>
      <c r="F6" s="4"/>
    </row>
    <row r="7" spans="1:253" s="1" customFormat="1" ht="16.5" x14ac:dyDescent="0.3">
      <c r="C7" s="4"/>
      <c r="E7" s="4"/>
      <c r="F7" s="4"/>
    </row>
    <row r="8" spans="1:253" s="1" customFormat="1" ht="15.75" customHeight="1" x14ac:dyDescent="0.35">
      <c r="A8" s="421" t="s">
        <v>30</v>
      </c>
      <c r="B8" s="422"/>
      <c r="C8" s="422"/>
      <c r="D8" s="422"/>
      <c r="E8" s="422"/>
      <c r="F8" s="422"/>
      <c r="G8" s="422"/>
      <c r="H8" s="422"/>
      <c r="I8" s="422"/>
      <c r="J8" s="422"/>
      <c r="K8" s="422"/>
      <c r="L8" s="422"/>
      <c r="M8" s="422"/>
      <c r="N8" s="422" t="s">
        <v>5</v>
      </c>
      <c r="O8" s="422"/>
      <c r="P8" s="422"/>
      <c r="Q8" s="422"/>
      <c r="R8" s="423"/>
      <c r="S8" s="216" t="s">
        <v>292</v>
      </c>
      <c r="T8" s="416" t="s">
        <v>290</v>
      </c>
      <c r="U8" s="416"/>
      <c r="V8" s="416"/>
      <c r="W8" s="218" t="s">
        <v>308</v>
      </c>
    </row>
    <row r="9" spans="1:253" s="1" customFormat="1" ht="11.25" customHeight="1" x14ac:dyDescent="0.3">
      <c r="A9" s="431" t="s">
        <v>0</v>
      </c>
      <c r="B9" s="431"/>
      <c r="C9" s="410"/>
      <c r="D9" s="409" t="s">
        <v>1</v>
      </c>
      <c r="E9" s="410"/>
      <c r="F9" s="409" t="s">
        <v>230</v>
      </c>
      <c r="G9" s="415"/>
      <c r="H9" s="409" t="s">
        <v>2</v>
      </c>
      <c r="I9" s="410"/>
      <c r="J9" s="73"/>
      <c r="K9" s="409" t="s">
        <v>3</v>
      </c>
      <c r="L9" s="415"/>
      <c r="M9" s="2" t="s">
        <v>4</v>
      </c>
      <c r="N9" s="409" t="s">
        <v>6</v>
      </c>
      <c r="O9" s="415"/>
      <c r="P9" s="409" t="s">
        <v>7</v>
      </c>
      <c r="Q9" s="415"/>
      <c r="R9" s="3" t="s">
        <v>8</v>
      </c>
      <c r="S9" s="417"/>
      <c r="T9" s="417"/>
      <c r="U9" s="417"/>
      <c r="V9" s="417"/>
      <c r="W9" s="413"/>
    </row>
    <row r="10" spans="1:253" s="1" customFormat="1" ht="18.75" customHeight="1" x14ac:dyDescent="0.35">
      <c r="A10" s="424"/>
      <c r="B10" s="424"/>
      <c r="C10" s="425"/>
      <c r="D10" s="426"/>
      <c r="E10" s="427"/>
      <c r="F10" s="428"/>
      <c r="G10" s="427"/>
      <c r="H10" s="429"/>
      <c r="I10" s="430"/>
      <c r="J10" s="76"/>
      <c r="K10" s="428"/>
      <c r="L10" s="427"/>
      <c r="M10" s="5"/>
      <c r="N10" s="411"/>
      <c r="O10" s="412"/>
      <c r="P10" s="407"/>
      <c r="Q10" s="408"/>
      <c r="R10" s="78"/>
      <c r="S10" s="418"/>
      <c r="T10" s="418"/>
      <c r="U10" s="418"/>
      <c r="V10" s="418"/>
      <c r="W10" s="414"/>
    </row>
    <row r="11" spans="1:253" s="1" customFormat="1" ht="21.75" customHeight="1" x14ac:dyDescent="0.3">
      <c r="C11" s="4"/>
      <c r="E11" s="4" t="s">
        <v>98</v>
      </c>
      <c r="F11" s="4"/>
    </row>
    <row r="12" spans="1:253" ht="27" x14ac:dyDescent="0.35">
      <c r="A12" s="211" t="s">
        <v>37</v>
      </c>
      <c r="B12" s="212" t="s">
        <v>9</v>
      </c>
      <c r="C12" s="212" t="s">
        <v>10</v>
      </c>
      <c r="D12" s="212" t="s">
        <v>11</v>
      </c>
      <c r="E12" s="212" t="s">
        <v>12</v>
      </c>
      <c r="F12" s="212" t="s">
        <v>29</v>
      </c>
      <c r="G12" s="212" t="s">
        <v>226</v>
      </c>
      <c r="H12" s="212" t="s">
        <v>13</v>
      </c>
      <c r="I12" s="212" t="s">
        <v>14</v>
      </c>
      <c r="J12" s="212" t="s">
        <v>228</v>
      </c>
      <c r="K12" s="212" t="s">
        <v>15</v>
      </c>
      <c r="L12" s="212" t="s">
        <v>18</v>
      </c>
      <c r="M12" s="212" t="s">
        <v>16</v>
      </c>
      <c r="N12" s="212" t="s">
        <v>17</v>
      </c>
      <c r="O12" s="213" t="s">
        <v>302</v>
      </c>
      <c r="P12" s="213" t="s">
        <v>265</v>
      </c>
      <c r="Q12" s="213" t="s">
        <v>267</v>
      </c>
      <c r="R12" s="213" t="s">
        <v>298</v>
      </c>
      <c r="S12" s="213" t="s">
        <v>300</v>
      </c>
      <c r="T12" s="212" t="s">
        <v>38</v>
      </c>
      <c r="U12" s="212" t="s">
        <v>20</v>
      </c>
      <c r="V12" s="212" t="s">
        <v>19</v>
      </c>
      <c r="W12" s="214" t="s">
        <v>303</v>
      </c>
    </row>
    <row r="13" spans="1:253" x14ac:dyDescent="0.35">
      <c r="A13" s="189"/>
      <c r="B13" s="190"/>
      <c r="C13" s="15"/>
      <c r="D13" s="190"/>
      <c r="E13" s="15"/>
      <c r="F13" s="15"/>
      <c r="G13" s="191"/>
      <c r="H13" s="192" t="str">
        <f t="shared" ref="H13:H33" si="0">IF(G13="","",IF(ISERROR(VLOOKUP(MID(G13,1,4),Bancos,1,FALSE)),"",VLOOKUP(MID(G13,1,4),Bancos,1,FALSE)))</f>
        <v/>
      </c>
      <c r="I13" s="193"/>
      <c r="J13" s="194"/>
      <c r="K13" s="195"/>
      <c r="L13" s="195"/>
      <c r="M13" s="196"/>
      <c r="N13" s="191"/>
      <c r="O13" s="197"/>
      <c r="P13" s="197"/>
      <c r="Q13" s="197"/>
      <c r="R13" s="197"/>
      <c r="S13" s="197"/>
      <c r="T13" s="191"/>
      <c r="U13" s="195"/>
      <c r="V13" s="193"/>
      <c r="W13" s="198"/>
    </row>
    <row r="14" spans="1:253" x14ac:dyDescent="0.35">
      <c r="A14" s="189"/>
      <c r="B14" s="190"/>
      <c r="C14" s="15"/>
      <c r="D14" s="190"/>
      <c r="E14" s="15"/>
      <c r="F14" s="15"/>
      <c r="G14" s="191"/>
      <c r="H14" s="192" t="str">
        <f t="shared" si="0"/>
        <v/>
      </c>
      <c r="I14" s="193"/>
      <c r="J14" s="194"/>
      <c r="K14" s="195"/>
      <c r="L14" s="195"/>
      <c r="M14" s="196"/>
      <c r="N14" s="191"/>
      <c r="O14" s="197"/>
      <c r="P14" s="197"/>
      <c r="Q14" s="197"/>
      <c r="R14" s="197"/>
      <c r="S14" s="197"/>
      <c r="T14" s="191"/>
      <c r="U14" s="195"/>
      <c r="V14" s="193"/>
      <c r="W14" s="198"/>
    </row>
    <row r="15" spans="1:253" x14ac:dyDescent="0.35">
      <c r="A15" s="189"/>
      <c r="B15" s="190"/>
      <c r="C15" s="15"/>
      <c r="D15" s="190"/>
      <c r="E15" s="15"/>
      <c r="F15" s="15"/>
      <c r="G15" s="191"/>
      <c r="H15" s="192" t="str">
        <f t="shared" si="0"/>
        <v/>
      </c>
      <c r="I15" s="193"/>
      <c r="J15" s="194"/>
      <c r="K15" s="195"/>
      <c r="L15" s="195"/>
      <c r="M15" s="196"/>
      <c r="N15" s="191"/>
      <c r="O15" s="197"/>
      <c r="P15" s="197"/>
      <c r="Q15" s="197"/>
      <c r="R15" s="197"/>
      <c r="S15" s="197"/>
      <c r="T15" s="191"/>
      <c r="U15" s="195"/>
      <c r="V15" s="193"/>
      <c r="W15" s="198"/>
    </row>
    <row r="16" spans="1:253" x14ac:dyDescent="0.35">
      <c r="A16" s="189"/>
      <c r="B16" s="190"/>
      <c r="C16" s="15"/>
      <c r="D16" s="190"/>
      <c r="E16" s="15"/>
      <c r="F16" s="15"/>
      <c r="G16" s="191"/>
      <c r="H16" s="192" t="str">
        <f t="shared" si="0"/>
        <v/>
      </c>
      <c r="I16" s="193"/>
      <c r="J16" s="194"/>
      <c r="K16" s="195"/>
      <c r="L16" s="195"/>
      <c r="M16" s="196"/>
      <c r="N16" s="191"/>
      <c r="O16" s="197"/>
      <c r="P16" s="197"/>
      <c r="Q16" s="197"/>
      <c r="R16" s="197"/>
      <c r="S16" s="197"/>
      <c r="T16" s="191"/>
      <c r="U16" s="195"/>
      <c r="V16" s="193"/>
      <c r="W16" s="198"/>
    </row>
    <row r="17" spans="1:37" x14ac:dyDescent="0.35">
      <c r="A17" s="189"/>
      <c r="B17" s="190"/>
      <c r="C17" s="15"/>
      <c r="D17" s="190"/>
      <c r="E17" s="15"/>
      <c r="F17" s="15"/>
      <c r="G17" s="191"/>
      <c r="H17" s="192" t="str">
        <f t="shared" si="0"/>
        <v/>
      </c>
      <c r="I17" s="193"/>
      <c r="J17" s="194"/>
      <c r="K17" s="195"/>
      <c r="L17" s="195"/>
      <c r="M17" s="196"/>
      <c r="N17" s="191"/>
      <c r="O17" s="197"/>
      <c r="P17" s="197"/>
      <c r="Q17" s="197"/>
      <c r="R17" s="197"/>
      <c r="S17" s="197"/>
      <c r="T17" s="191"/>
      <c r="U17" s="195"/>
      <c r="V17" s="193"/>
      <c r="W17" s="198"/>
    </row>
    <row r="18" spans="1:37" x14ac:dyDescent="0.35">
      <c r="A18" s="189"/>
      <c r="B18" s="190"/>
      <c r="C18" s="15"/>
      <c r="D18" s="190"/>
      <c r="E18" s="15"/>
      <c r="F18" s="15"/>
      <c r="G18" s="191"/>
      <c r="H18" s="192" t="str">
        <f t="shared" si="0"/>
        <v/>
      </c>
      <c r="I18" s="193"/>
      <c r="J18" s="194"/>
      <c r="K18" s="195"/>
      <c r="L18" s="195"/>
      <c r="M18" s="196"/>
      <c r="N18" s="191"/>
      <c r="O18" s="197"/>
      <c r="P18" s="197"/>
      <c r="Q18" s="197"/>
      <c r="R18" s="197"/>
      <c r="S18" s="197"/>
      <c r="T18" s="191"/>
      <c r="U18" s="195"/>
      <c r="V18" s="193"/>
      <c r="W18" s="198"/>
    </row>
    <row r="19" spans="1:37" x14ac:dyDescent="0.35">
      <c r="A19" s="189"/>
      <c r="B19" s="190"/>
      <c r="C19" s="15"/>
      <c r="D19" s="190"/>
      <c r="E19" s="15"/>
      <c r="F19" s="15"/>
      <c r="G19" s="191"/>
      <c r="H19" s="192" t="str">
        <f t="shared" si="0"/>
        <v/>
      </c>
      <c r="I19" s="193"/>
      <c r="J19" s="194"/>
      <c r="K19" s="195"/>
      <c r="L19" s="195"/>
      <c r="M19" s="196"/>
      <c r="N19" s="191"/>
      <c r="O19" s="197"/>
      <c r="P19" s="197"/>
      <c r="Q19" s="197"/>
      <c r="R19" s="197"/>
      <c r="S19" s="197"/>
      <c r="T19" s="191"/>
      <c r="U19" s="195"/>
      <c r="V19" s="193"/>
      <c r="W19" s="198"/>
    </row>
    <row r="20" spans="1:37" x14ac:dyDescent="0.35">
      <c r="A20" s="189"/>
      <c r="B20" s="190"/>
      <c r="C20" s="210"/>
      <c r="D20" s="190"/>
      <c r="E20" s="15"/>
      <c r="F20" s="15"/>
      <c r="G20" s="191"/>
      <c r="H20" s="192" t="str">
        <f t="shared" si="0"/>
        <v/>
      </c>
      <c r="I20" s="193"/>
      <c r="J20" s="194"/>
      <c r="K20" s="195"/>
      <c r="L20" s="195"/>
      <c r="M20" s="196"/>
      <c r="N20" s="191"/>
      <c r="O20" s="197"/>
      <c r="P20" s="197"/>
      <c r="Q20" s="197"/>
      <c r="R20" s="197"/>
      <c r="S20" s="197"/>
      <c r="T20" s="191"/>
      <c r="U20" s="195"/>
      <c r="V20" s="193"/>
      <c r="W20" s="198"/>
    </row>
    <row r="21" spans="1:37" x14ac:dyDescent="0.35">
      <c r="A21" s="189"/>
      <c r="B21" s="190"/>
      <c r="C21" s="15"/>
      <c r="D21" s="190"/>
      <c r="E21" s="15"/>
      <c r="F21" s="15"/>
      <c r="G21" s="191"/>
      <c r="H21" s="192" t="str">
        <f t="shared" si="0"/>
        <v/>
      </c>
      <c r="I21" s="193"/>
      <c r="J21" s="194"/>
      <c r="K21" s="195"/>
      <c r="L21" s="195"/>
      <c r="M21" s="196"/>
      <c r="N21" s="191"/>
      <c r="O21" s="197"/>
      <c r="P21" s="197"/>
      <c r="Q21" s="197"/>
      <c r="R21" s="197"/>
      <c r="S21" s="197"/>
      <c r="T21" s="191"/>
      <c r="U21" s="195"/>
      <c r="V21" s="193"/>
      <c r="W21" s="198"/>
    </row>
    <row r="22" spans="1:37" x14ac:dyDescent="0.35">
      <c r="A22" s="189"/>
      <c r="B22" s="190"/>
      <c r="C22" s="15"/>
      <c r="D22" s="190"/>
      <c r="E22" s="15"/>
      <c r="F22" s="15"/>
      <c r="G22" s="191"/>
      <c r="H22" s="192" t="str">
        <f t="shared" si="0"/>
        <v/>
      </c>
      <c r="I22" s="193"/>
      <c r="J22" s="194"/>
      <c r="K22" s="195"/>
      <c r="L22" s="195"/>
      <c r="M22" s="196"/>
      <c r="N22" s="191"/>
      <c r="O22" s="197"/>
      <c r="P22" s="197"/>
      <c r="Q22" s="197"/>
      <c r="R22" s="197"/>
      <c r="S22" s="197"/>
      <c r="T22" s="191"/>
      <c r="U22" s="195"/>
      <c r="V22" s="193"/>
      <c r="W22" s="198"/>
    </row>
    <row r="23" spans="1:37" x14ac:dyDescent="0.35">
      <c r="A23" s="189"/>
      <c r="B23" s="190"/>
      <c r="C23" s="15"/>
      <c r="D23" s="190"/>
      <c r="E23" s="15"/>
      <c r="F23" s="15"/>
      <c r="G23" s="191"/>
      <c r="H23" s="192" t="str">
        <f t="shared" si="0"/>
        <v/>
      </c>
      <c r="I23" s="193"/>
      <c r="J23" s="194"/>
      <c r="K23" s="195"/>
      <c r="L23" s="195"/>
      <c r="M23" s="196"/>
      <c r="N23" s="191"/>
      <c r="O23" s="197"/>
      <c r="P23" s="197"/>
      <c r="Q23" s="197"/>
      <c r="R23" s="197"/>
      <c r="S23" s="197"/>
      <c r="T23" s="191"/>
      <c r="U23" s="195"/>
      <c r="V23" s="193"/>
      <c r="W23" s="198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</row>
    <row r="24" spans="1:37" x14ac:dyDescent="0.35">
      <c r="A24" s="189"/>
      <c r="B24" s="190"/>
      <c r="C24" s="15"/>
      <c r="D24" s="190"/>
      <c r="E24" s="15"/>
      <c r="F24" s="15"/>
      <c r="G24" s="191"/>
      <c r="H24" s="192" t="str">
        <f t="shared" si="0"/>
        <v/>
      </c>
      <c r="I24" s="193"/>
      <c r="J24" s="194"/>
      <c r="K24" s="195"/>
      <c r="L24" s="195"/>
      <c r="M24" s="196"/>
      <c r="N24" s="191"/>
      <c r="O24" s="197"/>
      <c r="P24" s="197"/>
      <c r="Q24" s="197"/>
      <c r="R24" s="197"/>
      <c r="S24" s="197"/>
      <c r="T24" s="191"/>
      <c r="U24" s="195"/>
      <c r="V24" s="193"/>
      <c r="W24" s="198"/>
    </row>
    <row r="25" spans="1:37" x14ac:dyDescent="0.35">
      <c r="A25" s="189"/>
      <c r="B25" s="190"/>
      <c r="C25" s="15"/>
      <c r="D25" s="190"/>
      <c r="E25" s="15"/>
      <c r="F25" s="15"/>
      <c r="G25" s="191"/>
      <c r="H25" s="192" t="str">
        <f t="shared" si="0"/>
        <v/>
      </c>
      <c r="I25" s="193"/>
      <c r="J25" s="194"/>
      <c r="K25" s="195"/>
      <c r="L25" s="195"/>
      <c r="M25" s="196"/>
      <c r="N25" s="191"/>
      <c r="O25" s="197"/>
      <c r="P25" s="197"/>
      <c r="Q25" s="197"/>
      <c r="R25" s="197"/>
      <c r="S25" s="197"/>
      <c r="T25" s="191"/>
      <c r="U25" s="195"/>
      <c r="V25" s="193"/>
      <c r="W25" s="198"/>
    </row>
    <row r="26" spans="1:37" x14ac:dyDescent="0.35">
      <c r="A26" s="189"/>
      <c r="B26" s="190"/>
      <c r="C26" s="15"/>
      <c r="D26" s="190"/>
      <c r="E26" s="15"/>
      <c r="F26" s="15"/>
      <c r="G26" s="191"/>
      <c r="H26" s="192" t="str">
        <f t="shared" si="0"/>
        <v/>
      </c>
      <c r="I26" s="193"/>
      <c r="J26" s="194"/>
      <c r="K26" s="195"/>
      <c r="L26" s="195"/>
      <c r="M26" s="196"/>
      <c r="N26" s="191"/>
      <c r="O26" s="197"/>
      <c r="P26" s="197"/>
      <c r="Q26" s="197"/>
      <c r="R26" s="197"/>
      <c r="S26" s="197"/>
      <c r="T26" s="191"/>
      <c r="U26" s="195"/>
      <c r="V26" s="193"/>
      <c r="W26" s="198"/>
    </row>
    <row r="27" spans="1:37" x14ac:dyDescent="0.35">
      <c r="A27" s="189"/>
      <c r="B27" s="190"/>
      <c r="C27" s="15"/>
      <c r="D27" s="190"/>
      <c r="E27" s="15"/>
      <c r="F27" s="15"/>
      <c r="G27" s="191"/>
      <c r="H27" s="192" t="str">
        <f t="shared" si="0"/>
        <v/>
      </c>
      <c r="I27" s="193"/>
      <c r="J27" s="194"/>
      <c r="K27" s="195"/>
      <c r="L27" s="195"/>
      <c r="M27" s="196"/>
      <c r="N27" s="191"/>
      <c r="O27" s="197"/>
      <c r="P27" s="197"/>
      <c r="Q27" s="197"/>
      <c r="R27" s="197"/>
      <c r="S27" s="197"/>
      <c r="T27" s="191"/>
      <c r="U27" s="195"/>
      <c r="V27" s="193"/>
      <c r="W27" s="198"/>
    </row>
    <row r="28" spans="1:37" x14ac:dyDescent="0.35">
      <c r="A28" s="189"/>
      <c r="B28" s="190"/>
      <c r="C28" s="15"/>
      <c r="D28" s="190"/>
      <c r="E28" s="15"/>
      <c r="F28" s="15"/>
      <c r="G28" s="191"/>
      <c r="H28" s="192" t="str">
        <f t="shared" si="0"/>
        <v/>
      </c>
      <c r="I28" s="193"/>
      <c r="J28" s="194"/>
      <c r="K28" s="195"/>
      <c r="L28" s="195"/>
      <c r="M28" s="196"/>
      <c r="N28" s="191"/>
      <c r="O28" s="197"/>
      <c r="P28" s="197"/>
      <c r="Q28" s="197"/>
      <c r="R28" s="197"/>
      <c r="S28" s="197"/>
      <c r="T28" s="191"/>
      <c r="U28" s="195"/>
      <c r="V28" s="193"/>
      <c r="W28" s="198"/>
    </row>
    <row r="29" spans="1:37" x14ac:dyDescent="0.35">
      <c r="A29" s="189"/>
      <c r="B29" s="190"/>
      <c r="C29" s="15"/>
      <c r="D29" s="190"/>
      <c r="E29" s="15"/>
      <c r="F29" s="15"/>
      <c r="G29" s="191"/>
      <c r="H29" s="192" t="str">
        <f t="shared" si="0"/>
        <v/>
      </c>
      <c r="I29" s="193"/>
      <c r="J29" s="194"/>
      <c r="K29" s="195"/>
      <c r="L29" s="195"/>
      <c r="M29" s="196"/>
      <c r="N29" s="191"/>
      <c r="O29" s="197"/>
      <c r="P29" s="197"/>
      <c r="Q29" s="197"/>
      <c r="R29" s="197"/>
      <c r="S29" s="197"/>
      <c r="T29" s="191"/>
      <c r="U29" s="195"/>
      <c r="V29" s="193"/>
      <c r="W29" s="198"/>
    </row>
    <row r="30" spans="1:37" x14ac:dyDescent="0.35">
      <c r="A30" s="189"/>
      <c r="B30" s="190"/>
      <c r="C30" s="15"/>
      <c r="D30" s="190"/>
      <c r="E30" s="15"/>
      <c r="F30" s="15"/>
      <c r="G30" s="191"/>
      <c r="H30" s="192" t="str">
        <f t="shared" si="0"/>
        <v/>
      </c>
      <c r="I30" s="193"/>
      <c r="J30" s="194"/>
      <c r="K30" s="195"/>
      <c r="L30" s="195"/>
      <c r="M30" s="196"/>
      <c r="N30" s="191"/>
      <c r="O30" s="197"/>
      <c r="P30" s="197"/>
      <c r="Q30" s="197"/>
      <c r="R30" s="197"/>
      <c r="S30" s="197"/>
      <c r="T30" s="191"/>
      <c r="U30" s="195"/>
      <c r="V30" s="193"/>
      <c r="W30" s="198"/>
    </row>
    <row r="31" spans="1:37" x14ac:dyDescent="0.35">
      <c r="A31" s="189"/>
      <c r="B31" s="190"/>
      <c r="C31" s="15"/>
      <c r="D31" s="190"/>
      <c r="E31" s="15"/>
      <c r="F31" s="15"/>
      <c r="G31" s="191"/>
      <c r="H31" s="192" t="str">
        <f t="shared" si="0"/>
        <v/>
      </c>
      <c r="I31" s="193"/>
      <c r="J31" s="194"/>
      <c r="K31" s="195"/>
      <c r="L31" s="195"/>
      <c r="M31" s="196"/>
      <c r="N31" s="191"/>
      <c r="O31" s="197"/>
      <c r="P31" s="197"/>
      <c r="Q31" s="197"/>
      <c r="R31" s="197"/>
      <c r="S31" s="197"/>
      <c r="T31" s="191"/>
      <c r="U31" s="195"/>
      <c r="V31" s="193"/>
      <c r="W31" s="198"/>
    </row>
    <row r="32" spans="1:37" x14ac:dyDescent="0.35">
      <c r="A32" s="189"/>
      <c r="B32" s="190"/>
      <c r="C32" s="15"/>
      <c r="D32" s="190"/>
      <c r="E32" s="15"/>
      <c r="F32" s="15"/>
      <c r="G32" s="191"/>
      <c r="H32" s="192" t="str">
        <f t="shared" si="0"/>
        <v/>
      </c>
      <c r="I32" s="193"/>
      <c r="J32" s="194"/>
      <c r="K32" s="195"/>
      <c r="L32" s="195"/>
      <c r="M32" s="196"/>
      <c r="N32" s="191"/>
      <c r="O32" s="197"/>
      <c r="P32" s="197"/>
      <c r="Q32" s="197"/>
      <c r="R32" s="197"/>
      <c r="S32" s="197"/>
      <c r="T32" s="191"/>
      <c r="U32" s="195"/>
      <c r="V32" s="193"/>
      <c r="W32" s="198"/>
    </row>
    <row r="33" spans="1:23" x14ac:dyDescent="0.35">
      <c r="A33" s="199"/>
      <c r="B33" s="200"/>
      <c r="C33" s="201"/>
      <c r="D33" s="200"/>
      <c r="E33" s="201"/>
      <c r="F33" s="201"/>
      <c r="G33" s="202"/>
      <c r="H33" s="203" t="str">
        <f t="shared" si="0"/>
        <v/>
      </c>
      <c r="I33" s="204"/>
      <c r="J33" s="205"/>
      <c r="K33" s="206"/>
      <c r="L33" s="206"/>
      <c r="M33" s="207"/>
      <c r="N33" s="202"/>
      <c r="O33" s="208"/>
      <c r="P33" s="208"/>
      <c r="Q33" s="208"/>
      <c r="R33" s="208"/>
      <c r="S33" s="208"/>
      <c r="T33" s="202"/>
      <c r="U33" s="206"/>
      <c r="V33" s="204"/>
      <c r="W33" s="209"/>
    </row>
    <row r="34" spans="1:23" x14ac:dyDescent="0.35">
      <c r="D34" s="24"/>
      <c r="M34" s="75"/>
    </row>
  </sheetData>
  <sheetProtection selectLockedCells="1"/>
  <protectedRanges>
    <protectedRange sqref="O34:R65536 T12:W33 I12:N65536" name="Rango2"/>
    <protectedRange sqref="A12:G65536" name="Rango1" securityDescriptor="O:WDG:WDD:(A;;CC;;;WD)"/>
  </protectedRanges>
  <dataConsolidate/>
  <mergeCells count="22">
    <mergeCell ref="T8:V8"/>
    <mergeCell ref="T9:V10"/>
    <mergeCell ref="S9:S10"/>
    <mergeCell ref="A1:K1"/>
    <mergeCell ref="C5:R5"/>
    <mergeCell ref="A8:M8"/>
    <mergeCell ref="N8:R8"/>
    <mergeCell ref="F9:G9"/>
    <mergeCell ref="A10:C10"/>
    <mergeCell ref="D10:E10"/>
    <mergeCell ref="F10:G10"/>
    <mergeCell ref="H10:I10"/>
    <mergeCell ref="K10:L10"/>
    <mergeCell ref="A9:C9"/>
    <mergeCell ref="K9:L9"/>
    <mergeCell ref="D9:E9"/>
    <mergeCell ref="P10:Q10"/>
    <mergeCell ref="H9:I9"/>
    <mergeCell ref="N10:O10"/>
    <mergeCell ref="W9:W10"/>
    <mergeCell ref="P9:Q9"/>
    <mergeCell ref="N9:O9"/>
  </mergeCells>
  <phoneticPr fontId="13" type="noConversion"/>
  <conditionalFormatting sqref="H34">
    <cfRule type="cellIs" dxfId="59" priority="2" stopIfTrue="1" operator="equal">
      <formula>"Valide N° Cta. / Tarj."</formula>
    </cfRule>
  </conditionalFormatting>
  <conditionalFormatting sqref="D6:D7">
    <cfRule type="expression" priority="4" stopIfTrue="1">
      <formula>IF(MOD(ROW(),2)=0,TRUE,FALSE)</formula>
    </cfRule>
  </conditionalFormatting>
  <conditionalFormatting sqref="G2:G3">
    <cfRule type="expression" dxfId="58" priority="3" stopIfTrue="1">
      <formula>"""=SI(RESIDUO(FILA();2)=0;VERDADERO;FALSO)"""</formula>
    </cfRule>
  </conditionalFormatting>
  <pageMargins left="0.27559055118110237" right="0.23622047244094491" top="0.51181102362204722" bottom="0.59055118110236227" header="0.31496062992125984" footer="0.31496062992125984"/>
  <pageSetup scale="45" orientation="landscape" verticalDpi="1200" r:id="rId1"/>
  <headerFooter>
    <oddFooter>&amp;L&amp;"Trebuchet MS,Normal"&amp;7&amp;K00-024EN/CP-P-0036-11
B.O.D, BANCO UNIVERSAL C.A. RIF J-30061946-0</oddFooter>
  </headerFooter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3">
    <pageSetUpPr fitToPage="1"/>
  </sheetPr>
  <dimension ref="A1:IV39"/>
  <sheetViews>
    <sheetView showGridLines="0" showRowColHeaders="0" topLeftCell="B1" zoomScaleNormal="100" workbookViewId="0">
      <pane ySplit="12" topLeftCell="A13" activePane="bottomLeft" state="frozen"/>
      <selection activeCell="B1" sqref="B1"/>
      <selection pane="bottomLeft" activeCell="B13" sqref="B13"/>
    </sheetView>
  </sheetViews>
  <sheetFormatPr baseColWidth="10" defaultColWidth="0" defaultRowHeight="15" x14ac:dyDescent="0.35"/>
  <cols>
    <col min="1" max="1" width="13.28515625" style="142" hidden="1" customWidth="1"/>
    <col min="2" max="2" width="16.85546875" style="142" customWidth="1"/>
    <col min="3" max="3" width="10.28515625" style="142" customWidth="1"/>
    <col min="4" max="4" width="15.140625" style="142" customWidth="1"/>
    <col min="5" max="5" width="30.42578125" style="313" customWidth="1"/>
    <col min="6" max="6" width="11" style="313" customWidth="1"/>
    <col min="7" max="7" width="8.28515625" style="313" customWidth="1"/>
    <col min="8" max="8" width="7" style="313" customWidth="1"/>
    <col min="9" max="9" width="16.85546875" style="142" customWidth="1"/>
    <col min="10" max="10" width="12.140625" style="142" customWidth="1"/>
    <col min="11" max="11" width="19.140625" style="142" customWidth="1"/>
    <col min="12" max="12" width="11" style="142" customWidth="1"/>
    <col min="13" max="13" width="29.42578125" style="142" customWidth="1"/>
    <col min="14" max="14" width="11.85546875" style="142" customWidth="1"/>
    <col min="15" max="15" width="14" style="142" customWidth="1"/>
    <col min="16" max="16" width="7.7109375" style="142" customWidth="1"/>
    <col min="17" max="17" width="15" style="142" customWidth="1"/>
    <col min="18" max="18" width="28.5703125" style="142" customWidth="1"/>
    <col min="19" max="19" width="12.5703125" style="142" customWidth="1"/>
    <col min="20" max="20" width="10.7109375" style="142" customWidth="1"/>
    <col min="21" max="21" width="0" style="142" hidden="1" customWidth="1"/>
    <col min="22" max="22" width="14.85546875" style="142" hidden="1" customWidth="1"/>
    <col min="23" max="23" width="13.42578125" style="142" hidden="1" customWidth="1"/>
    <col min="24" max="24" width="11.42578125" style="142" hidden="1" customWidth="1"/>
    <col min="25" max="28" width="0" style="142" hidden="1" customWidth="1"/>
    <col min="29" max="30" width="11.42578125" style="142" customWidth="1"/>
    <col min="31" max="31" width="10" style="142" customWidth="1"/>
    <col min="32" max="32" width="11.42578125" style="142" customWidth="1"/>
    <col min="33" max="129" width="0" style="142" hidden="1" customWidth="1"/>
    <col min="130" max="131" width="11.42578125" style="142" customWidth="1"/>
    <col min="132" max="16384" width="0" style="142" hidden="1"/>
  </cols>
  <sheetData>
    <row r="1" spans="1:256" s="7" customFormat="1" ht="30" customHeight="1" x14ac:dyDescent="0.35">
      <c r="A1" s="437"/>
      <c r="B1" s="437"/>
      <c r="C1" s="437"/>
      <c r="D1" s="437"/>
      <c r="E1" s="437"/>
      <c r="F1" s="437"/>
      <c r="G1" s="437"/>
      <c r="H1" s="437"/>
      <c r="I1" s="437"/>
      <c r="J1" s="437"/>
      <c r="K1" s="437"/>
      <c r="L1" s="17"/>
      <c r="M1" s="17"/>
      <c r="N1" s="17"/>
      <c r="O1" s="17"/>
      <c r="P1" s="79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IV1" s="7" t="s">
        <v>288</v>
      </c>
    </row>
    <row r="2" spans="1:256" s="7" customFormat="1" ht="12.75" customHeight="1" x14ac:dyDescent="0.35">
      <c r="B2" s="19"/>
      <c r="C2" s="19"/>
      <c r="D2" s="19"/>
      <c r="E2" s="225"/>
      <c r="F2" s="225"/>
      <c r="G2" s="223"/>
      <c r="H2" s="223"/>
      <c r="I2" s="224"/>
      <c r="J2" s="226"/>
      <c r="K2" s="227"/>
      <c r="L2" s="379"/>
      <c r="M2" s="379"/>
      <c r="T2" s="17"/>
      <c r="U2" s="17"/>
      <c r="V2" s="17"/>
      <c r="W2" s="17"/>
      <c r="X2" s="17"/>
      <c r="Y2" s="17"/>
      <c r="Z2" s="17"/>
      <c r="AA2" s="227"/>
      <c r="AB2" s="227"/>
    </row>
    <row r="3" spans="1:256" s="337" customFormat="1" ht="16.5" x14ac:dyDescent="0.3">
      <c r="E3" s="338"/>
      <c r="F3" s="338"/>
      <c r="G3" s="338"/>
      <c r="H3" s="338"/>
      <c r="P3" s="339">
        <v>1</v>
      </c>
    </row>
    <row r="4" spans="1:256" s="337" customFormat="1" ht="18.75" x14ac:dyDescent="0.3">
      <c r="B4" s="439" t="s">
        <v>231</v>
      </c>
      <c r="C4" s="439"/>
      <c r="D4" s="439"/>
      <c r="E4" s="439"/>
      <c r="F4" s="439"/>
      <c r="G4" s="439"/>
      <c r="H4" s="439"/>
      <c r="I4" s="439"/>
      <c r="J4" s="439"/>
      <c r="K4" s="439"/>
    </row>
    <row r="5" spans="1:256" s="337" customFormat="1" ht="9.75" customHeight="1" x14ac:dyDescent="0.3">
      <c r="L5" s="380"/>
      <c r="M5" s="380"/>
      <c r="N5" s="380"/>
    </row>
    <row r="6" spans="1:256" s="337" customFormat="1" ht="16.5" x14ac:dyDescent="0.3">
      <c r="E6" s="338"/>
      <c r="F6" s="338"/>
      <c r="G6" s="338"/>
      <c r="H6" s="338"/>
    </row>
    <row r="7" spans="1:256" s="337" customFormat="1" ht="16.5" x14ac:dyDescent="0.3">
      <c r="E7" s="338"/>
      <c r="F7" s="338"/>
      <c r="G7" s="338"/>
      <c r="H7" s="338"/>
    </row>
    <row r="8" spans="1:256" s="337" customFormat="1" ht="16.5" hidden="1" x14ac:dyDescent="0.3">
      <c r="A8" s="381"/>
      <c r="B8" s="343"/>
      <c r="C8" s="343"/>
      <c r="D8" s="343"/>
      <c r="E8" s="345"/>
      <c r="F8" s="345"/>
      <c r="G8" s="345"/>
      <c r="H8" s="345"/>
      <c r="I8" s="343"/>
      <c r="J8" s="343"/>
      <c r="K8" s="343"/>
      <c r="L8" s="343"/>
      <c r="M8" s="343"/>
      <c r="N8" s="343"/>
      <c r="O8" s="343"/>
      <c r="P8" s="343"/>
      <c r="Q8" s="343"/>
      <c r="R8" s="343"/>
      <c r="S8" s="343"/>
    </row>
    <row r="9" spans="1:256" s="337" customFormat="1" ht="9.75" customHeight="1" x14ac:dyDescent="0.3">
      <c r="A9" s="381"/>
      <c r="B9" s="343"/>
      <c r="C9" s="343"/>
      <c r="D9" s="343"/>
      <c r="E9" s="345"/>
      <c r="F9" s="345"/>
      <c r="G9" s="345"/>
      <c r="H9" s="345"/>
      <c r="I9" s="343"/>
      <c r="J9" s="343"/>
      <c r="K9" s="343"/>
      <c r="L9" s="343"/>
      <c r="M9" s="343"/>
      <c r="N9" s="343"/>
      <c r="O9" s="343"/>
      <c r="P9" s="343"/>
      <c r="Q9" s="343"/>
      <c r="R9" s="343"/>
      <c r="S9" s="343"/>
    </row>
    <row r="10" spans="1:256" s="337" customFormat="1" ht="12" customHeight="1" x14ac:dyDescent="0.3">
      <c r="E10" s="338"/>
      <c r="F10" s="338"/>
      <c r="G10" s="338"/>
      <c r="H10" s="436"/>
      <c r="I10" s="436"/>
      <c r="J10" s="436"/>
    </row>
    <row r="11" spans="1:256" s="7" customFormat="1" ht="15.75" customHeight="1" x14ac:dyDescent="0.35">
      <c r="A11" s="438" t="s">
        <v>232</v>
      </c>
      <c r="B11" s="438"/>
      <c r="C11" s="438"/>
      <c r="D11" s="438"/>
      <c r="E11" s="438"/>
      <c r="F11" s="438"/>
      <c r="G11" s="438"/>
      <c r="H11" s="438"/>
      <c r="I11" s="438"/>
      <c r="J11" s="438"/>
      <c r="K11" s="438"/>
      <c r="L11" s="438"/>
      <c r="M11" s="438"/>
      <c r="N11" s="438"/>
      <c r="O11" s="432" t="s">
        <v>280</v>
      </c>
      <c r="P11" s="433"/>
      <c r="Q11" s="433"/>
      <c r="R11" s="433"/>
      <c r="S11" s="433"/>
    </row>
    <row r="12" spans="1:256" s="7" customFormat="1" ht="27" customHeight="1" x14ac:dyDescent="0.35">
      <c r="A12" s="302" t="s">
        <v>233</v>
      </c>
      <c r="B12" s="303" t="s">
        <v>234</v>
      </c>
      <c r="C12" s="303" t="s">
        <v>1</v>
      </c>
      <c r="D12" s="303" t="s">
        <v>289</v>
      </c>
      <c r="E12" s="303" t="s">
        <v>235</v>
      </c>
      <c r="F12" s="303" t="s">
        <v>29</v>
      </c>
      <c r="G12" s="303" t="s">
        <v>13</v>
      </c>
      <c r="H12" s="434" t="s">
        <v>226</v>
      </c>
      <c r="I12" s="435"/>
      <c r="J12" s="303" t="s">
        <v>236</v>
      </c>
      <c r="K12" s="303" t="s">
        <v>237</v>
      </c>
      <c r="L12" s="303" t="s">
        <v>8</v>
      </c>
      <c r="M12" s="303" t="s">
        <v>16</v>
      </c>
      <c r="N12" s="303" t="s">
        <v>17</v>
      </c>
      <c r="O12" s="303" t="s">
        <v>281</v>
      </c>
      <c r="P12" s="303" t="s">
        <v>282</v>
      </c>
      <c r="Q12" s="303" t="s">
        <v>285</v>
      </c>
      <c r="R12" s="303" t="s">
        <v>283</v>
      </c>
      <c r="S12" s="303" t="s">
        <v>284</v>
      </c>
      <c r="X12" s="7" t="s">
        <v>314</v>
      </c>
      <c r="Y12" s="7" t="s">
        <v>315</v>
      </c>
      <c r="Z12" s="7" t="s">
        <v>316</v>
      </c>
    </row>
    <row r="13" spans="1:256" x14ac:dyDescent="0.35">
      <c r="A13" s="10"/>
      <c r="B13" s="13"/>
      <c r="C13" s="81"/>
      <c r="D13" s="11"/>
      <c r="E13" s="15"/>
      <c r="F13" s="82"/>
      <c r="G13" s="222"/>
      <c r="H13" s="317" t="str">
        <f>IF(G13="","",IF(OR(F13="BAN",F13="CTA"),G13,""))</f>
        <v/>
      </c>
      <c r="I13" s="220"/>
      <c r="J13" s="83"/>
      <c r="K13" s="84"/>
      <c r="L13" s="375" t="str">
        <f>IF(K13=0,"","VEB")</f>
        <v/>
      </c>
      <c r="M13" s="233"/>
      <c r="N13" s="13"/>
      <c r="O13" s="144"/>
      <c r="P13" s="144"/>
      <c r="Q13" s="11"/>
      <c r="R13" s="143"/>
      <c r="S13" s="144"/>
      <c r="T13" s="320"/>
      <c r="U13" s="320"/>
      <c r="V13" s="320"/>
      <c r="W13" s="376" t="b">
        <f>AND(OR(LEN(B13)&lt;&gt;0,LEN(C13)&lt;&gt;0,LEN(E13)&lt;&gt;0,LEN(J13)&lt;&gt;0,LEN(K13)&lt;&gt;0,LEN(M13)&lt;&gt;0,LEN(N13)&lt;&gt;0)=TRUE,X13=TRUE)</f>
        <v>0</v>
      </c>
      <c r="X13" s="142" t="b">
        <f>IF(OR(F13="CHQ",F13="EFE"),TRUE,IF(AND(OR(F13="V/M",F13="AME"),LEN(I13)&lt;&gt;0),TRUE,IF(AND(OR(F13="CTA",F13="BAN",F13="TAR"),AND(LEN(G13)&lt;&gt;0,LEN(I13)&lt;&gt;0)),TRUE,FALSE)))</f>
        <v>0</v>
      </c>
    </row>
    <row r="14" spans="1:256" x14ac:dyDescent="0.35">
      <c r="A14" s="10"/>
      <c r="B14" s="13"/>
      <c r="C14" s="81"/>
      <c r="D14" s="11"/>
      <c r="E14" s="15"/>
      <c r="F14" s="82"/>
      <c r="G14" s="222"/>
      <c r="H14" s="317" t="str">
        <f t="shared" ref="H14:H36" si="0">IF(G14="","",IF(OR(F14="BAN",F14="CTA"),G14,""))</f>
        <v/>
      </c>
      <c r="I14" s="220"/>
      <c r="J14" s="83"/>
      <c r="K14" s="84"/>
      <c r="L14" s="375" t="str">
        <f t="shared" ref="L14:L36" si="1">IF(K14=0,"","VEB")</f>
        <v/>
      </c>
      <c r="M14" s="233"/>
      <c r="N14" s="13"/>
      <c r="O14" s="144"/>
      <c r="P14" s="144"/>
      <c r="Q14" s="11"/>
      <c r="R14" s="143"/>
      <c r="S14" s="144"/>
      <c r="T14" s="320"/>
      <c r="U14" s="320"/>
      <c r="V14" s="320"/>
      <c r="W14" s="376" t="b">
        <f t="shared" ref="W14:W33" si="2">AND(OR(LEN(B14)&lt;&gt;0,LEN(C14)&lt;&gt;0,LEN(E14)&lt;&gt;0,LEN(J14)&lt;&gt;0,LEN(K14)&lt;&gt;0,LEN(M14)&lt;&gt;0,LEN(N14)&lt;&gt;0)=TRUE,X14=TRUE)</f>
        <v>0</v>
      </c>
      <c r="X14" s="142" t="b">
        <f t="shared" ref="X14:X35" si="3">IF(OR(F14="CHQ",F14="EFE"),TRUE,IF(AND(OR(F14="V/M",F14="AME"),LEN(I14)&lt;&gt;0),TRUE,IF(AND(OR(F14="CTA",F14="BAN",F14="TAR"),AND(LEN(G14)&lt;&gt;0,LEN(I14)&lt;&gt;0)),TRUE,FALSE)))</f>
        <v>0</v>
      </c>
    </row>
    <row r="15" spans="1:256" ht="17.25" x14ac:dyDescent="0.35">
      <c r="A15" s="10"/>
      <c r="B15" s="13"/>
      <c r="C15" s="81"/>
      <c r="D15" s="11"/>
      <c r="E15" s="15"/>
      <c r="F15" s="82"/>
      <c r="G15" s="222"/>
      <c r="H15" s="317" t="str">
        <f t="shared" si="0"/>
        <v/>
      </c>
      <c r="I15" s="220"/>
      <c r="J15" s="83"/>
      <c r="K15" s="84"/>
      <c r="L15" s="375" t="str">
        <f t="shared" si="1"/>
        <v/>
      </c>
      <c r="M15" s="233"/>
      <c r="N15" s="13"/>
      <c r="O15" s="144"/>
      <c r="P15" s="144"/>
      <c r="Q15" s="11"/>
      <c r="R15" s="143"/>
      <c r="S15" s="144"/>
      <c r="T15" s="320"/>
      <c r="U15" s="320"/>
      <c r="V15" s="374"/>
      <c r="W15" s="376" t="b">
        <f t="shared" si="2"/>
        <v>0</v>
      </c>
      <c r="X15" s="142" t="b">
        <f t="shared" si="3"/>
        <v>0</v>
      </c>
      <c r="Y15" s="377"/>
      <c r="Z15" s="377"/>
    </row>
    <row r="16" spans="1:256" x14ac:dyDescent="0.35">
      <c r="A16" s="10"/>
      <c r="B16" s="13"/>
      <c r="C16" s="81"/>
      <c r="D16" s="11"/>
      <c r="E16" s="15"/>
      <c r="F16" s="82"/>
      <c r="G16" s="222"/>
      <c r="H16" s="317" t="str">
        <f t="shared" si="0"/>
        <v/>
      </c>
      <c r="I16" s="220"/>
      <c r="J16" s="83"/>
      <c r="K16" s="84"/>
      <c r="L16" s="375" t="str">
        <f t="shared" si="1"/>
        <v/>
      </c>
      <c r="M16" s="233"/>
      <c r="N16" s="13"/>
      <c r="O16" s="144"/>
      <c r="P16" s="144"/>
      <c r="Q16" s="11"/>
      <c r="R16" s="143"/>
      <c r="S16" s="144"/>
      <c r="T16" s="320"/>
      <c r="U16" s="320"/>
      <c r="V16" s="320"/>
      <c r="W16" s="376" t="b">
        <f t="shared" si="2"/>
        <v>0</v>
      </c>
      <c r="X16" s="142" t="b">
        <f t="shared" si="3"/>
        <v>0</v>
      </c>
    </row>
    <row r="17" spans="1:33" x14ac:dyDescent="0.35">
      <c r="A17" s="10"/>
      <c r="B17" s="13"/>
      <c r="C17" s="81"/>
      <c r="D17" s="11"/>
      <c r="E17" s="15"/>
      <c r="F17" s="82"/>
      <c r="G17" s="222"/>
      <c r="H17" s="317" t="str">
        <f t="shared" si="0"/>
        <v/>
      </c>
      <c r="I17" s="220"/>
      <c r="J17" s="83"/>
      <c r="K17" s="84"/>
      <c r="L17" s="375" t="str">
        <f t="shared" si="1"/>
        <v/>
      </c>
      <c r="M17" s="215"/>
      <c r="N17" s="13"/>
      <c r="O17" s="144"/>
      <c r="P17" s="144"/>
      <c r="Q17" s="11"/>
      <c r="R17" s="143"/>
      <c r="S17" s="144"/>
      <c r="T17" s="320"/>
      <c r="U17" s="320"/>
      <c r="V17" s="320"/>
      <c r="W17" s="376" t="b">
        <f t="shared" si="2"/>
        <v>0</v>
      </c>
      <c r="X17" s="142" t="b">
        <f t="shared" si="3"/>
        <v>0</v>
      </c>
    </row>
    <row r="18" spans="1:33" x14ac:dyDescent="0.35">
      <c r="A18" s="10"/>
      <c r="B18" s="13"/>
      <c r="C18" s="81"/>
      <c r="D18" s="11"/>
      <c r="E18" s="15"/>
      <c r="F18" s="82"/>
      <c r="G18" s="222"/>
      <c r="H18" s="317" t="str">
        <f t="shared" si="0"/>
        <v/>
      </c>
      <c r="I18" s="220"/>
      <c r="J18" s="83"/>
      <c r="K18" s="84"/>
      <c r="L18" s="375" t="str">
        <f t="shared" si="1"/>
        <v/>
      </c>
      <c r="M18" s="232"/>
      <c r="N18" s="13"/>
      <c r="O18" s="144"/>
      <c r="P18" s="144"/>
      <c r="Q18" s="11"/>
      <c r="R18" s="143"/>
      <c r="S18" s="144"/>
      <c r="T18" s="320"/>
      <c r="U18" s="320"/>
      <c r="V18" s="320"/>
      <c r="W18" s="376" t="b">
        <f t="shared" si="2"/>
        <v>0</v>
      </c>
      <c r="X18" s="142" t="b">
        <f t="shared" si="3"/>
        <v>0</v>
      </c>
    </row>
    <row r="19" spans="1:33" x14ac:dyDescent="0.35">
      <c r="A19" s="10"/>
      <c r="B19" s="13"/>
      <c r="C19" s="81"/>
      <c r="D19" s="11"/>
      <c r="E19" s="15"/>
      <c r="F19" s="82"/>
      <c r="G19" s="217"/>
      <c r="H19" s="317" t="str">
        <f t="shared" si="0"/>
        <v/>
      </c>
      <c r="I19" s="13"/>
      <c r="J19" s="83"/>
      <c r="K19" s="84"/>
      <c r="L19" s="375" t="str">
        <f t="shared" si="1"/>
        <v/>
      </c>
      <c r="M19" s="232"/>
      <c r="N19" s="13"/>
      <c r="O19" s="144"/>
      <c r="P19" s="144"/>
      <c r="Q19" s="11"/>
      <c r="R19" s="143"/>
      <c r="S19" s="144"/>
      <c r="T19" s="320"/>
      <c r="U19" s="320"/>
      <c r="V19" s="320"/>
      <c r="W19" s="376" t="b">
        <f t="shared" si="2"/>
        <v>0</v>
      </c>
      <c r="X19" s="142" t="b">
        <f t="shared" si="3"/>
        <v>0</v>
      </c>
    </row>
    <row r="20" spans="1:33" x14ac:dyDescent="0.35">
      <c r="A20" s="10"/>
      <c r="B20" s="13"/>
      <c r="C20" s="81"/>
      <c r="D20" s="11"/>
      <c r="E20" s="15"/>
      <c r="F20" s="82"/>
      <c r="G20" s="217"/>
      <c r="H20" s="317" t="str">
        <f t="shared" si="0"/>
        <v/>
      </c>
      <c r="I20" s="13"/>
      <c r="J20" s="83"/>
      <c r="K20" s="84"/>
      <c r="L20" s="375" t="str">
        <f t="shared" si="1"/>
        <v/>
      </c>
      <c r="M20" s="232"/>
      <c r="N20" s="13"/>
      <c r="O20" s="144"/>
      <c r="P20" s="144"/>
      <c r="Q20" s="11"/>
      <c r="R20" s="143"/>
      <c r="S20" s="144"/>
      <c r="T20" s="320"/>
      <c r="U20" s="320"/>
      <c r="V20" s="320"/>
      <c r="W20" s="376" t="b">
        <f t="shared" si="2"/>
        <v>0</v>
      </c>
      <c r="X20" s="142" t="b">
        <f t="shared" si="3"/>
        <v>0</v>
      </c>
    </row>
    <row r="21" spans="1:33" x14ac:dyDescent="0.35">
      <c r="A21" s="10"/>
      <c r="B21" s="13"/>
      <c r="C21" s="81"/>
      <c r="D21" s="11"/>
      <c r="E21" s="15"/>
      <c r="F21" s="82"/>
      <c r="G21" s="217"/>
      <c r="H21" s="317" t="str">
        <f t="shared" si="0"/>
        <v/>
      </c>
      <c r="I21" s="13"/>
      <c r="J21" s="83"/>
      <c r="K21" s="84"/>
      <c r="L21" s="375" t="str">
        <f t="shared" si="1"/>
        <v/>
      </c>
      <c r="M21" s="232"/>
      <c r="N21" s="13"/>
      <c r="O21" s="144"/>
      <c r="P21" s="144"/>
      <c r="Q21" s="11"/>
      <c r="R21" s="143"/>
      <c r="S21" s="144"/>
      <c r="T21" s="320"/>
      <c r="U21" s="320"/>
      <c r="V21" s="320"/>
      <c r="W21" s="376" t="b">
        <f t="shared" si="2"/>
        <v>0</v>
      </c>
      <c r="X21" s="142" t="b">
        <f t="shared" si="3"/>
        <v>0</v>
      </c>
    </row>
    <row r="22" spans="1:33" x14ac:dyDescent="0.35">
      <c r="A22" s="10"/>
      <c r="B22" s="13"/>
      <c r="C22" s="81"/>
      <c r="D22" s="11"/>
      <c r="E22" s="15"/>
      <c r="F22" s="82"/>
      <c r="G22" s="217"/>
      <c r="H22" s="317" t="str">
        <f t="shared" si="0"/>
        <v/>
      </c>
      <c r="I22" s="13"/>
      <c r="J22" s="83"/>
      <c r="K22" s="84"/>
      <c r="L22" s="375" t="str">
        <f t="shared" si="1"/>
        <v/>
      </c>
      <c r="M22" s="232"/>
      <c r="N22" s="13"/>
      <c r="O22" s="144"/>
      <c r="P22" s="144"/>
      <c r="Q22" s="11"/>
      <c r="R22" s="143"/>
      <c r="S22" s="144"/>
      <c r="T22" s="320"/>
      <c r="U22" s="320"/>
      <c r="V22" s="320"/>
      <c r="W22" s="376" t="b">
        <f t="shared" si="2"/>
        <v>0</v>
      </c>
      <c r="X22" s="142" t="b">
        <f t="shared" si="3"/>
        <v>0</v>
      </c>
    </row>
    <row r="23" spans="1:33" x14ac:dyDescent="0.35">
      <c r="A23" s="10"/>
      <c r="B23" s="13"/>
      <c r="C23" s="81"/>
      <c r="D23" s="11"/>
      <c r="E23" s="15"/>
      <c r="F23" s="82"/>
      <c r="G23" s="217"/>
      <c r="H23" s="317" t="str">
        <f t="shared" si="0"/>
        <v/>
      </c>
      <c r="I23" s="13"/>
      <c r="J23" s="83"/>
      <c r="K23" s="84"/>
      <c r="L23" s="375" t="str">
        <f t="shared" si="1"/>
        <v/>
      </c>
      <c r="M23" s="232"/>
      <c r="N23" s="13"/>
      <c r="O23" s="144"/>
      <c r="P23" s="144"/>
      <c r="Q23" s="11"/>
      <c r="R23" s="143"/>
      <c r="S23" s="144"/>
      <c r="T23" s="324"/>
      <c r="U23" s="324"/>
      <c r="V23" s="324"/>
      <c r="W23" s="376" t="b">
        <f t="shared" si="2"/>
        <v>0</v>
      </c>
      <c r="X23" s="142" t="b">
        <f t="shared" si="3"/>
        <v>0</v>
      </c>
      <c r="Y23" s="378"/>
      <c r="Z23" s="378"/>
      <c r="AA23" s="378"/>
      <c r="AB23" s="378"/>
      <c r="AC23" s="378"/>
      <c r="AD23" s="378"/>
      <c r="AE23" s="378"/>
      <c r="AF23" s="378"/>
      <c r="AG23" s="378"/>
    </row>
    <row r="24" spans="1:33" x14ac:dyDescent="0.35">
      <c r="A24" s="10"/>
      <c r="B24" s="13"/>
      <c r="C24" s="81"/>
      <c r="D24" s="11"/>
      <c r="E24" s="15"/>
      <c r="F24" s="82"/>
      <c r="G24" s="217"/>
      <c r="H24" s="317" t="str">
        <f t="shared" si="0"/>
        <v/>
      </c>
      <c r="I24" s="13"/>
      <c r="J24" s="83"/>
      <c r="K24" s="84"/>
      <c r="L24" s="375" t="str">
        <f t="shared" si="1"/>
        <v/>
      </c>
      <c r="M24" s="232"/>
      <c r="N24" s="13"/>
      <c r="O24" s="144"/>
      <c r="P24" s="144"/>
      <c r="Q24" s="11"/>
      <c r="R24" s="143"/>
      <c r="S24" s="144"/>
      <c r="T24" s="320"/>
      <c r="U24" s="320"/>
      <c r="V24" s="320"/>
      <c r="W24" s="376" t="b">
        <f t="shared" si="2"/>
        <v>0</v>
      </c>
      <c r="X24" s="142" t="b">
        <f t="shared" si="3"/>
        <v>0</v>
      </c>
    </row>
    <row r="25" spans="1:33" x14ac:dyDescent="0.35">
      <c r="A25" s="10"/>
      <c r="B25" s="13"/>
      <c r="C25" s="81"/>
      <c r="D25" s="11"/>
      <c r="E25" s="15"/>
      <c r="F25" s="82"/>
      <c r="G25" s="217"/>
      <c r="H25" s="317" t="str">
        <f t="shared" si="0"/>
        <v/>
      </c>
      <c r="I25" s="13"/>
      <c r="J25" s="83"/>
      <c r="K25" s="84"/>
      <c r="L25" s="375" t="str">
        <f t="shared" si="1"/>
        <v/>
      </c>
      <c r="M25" s="232"/>
      <c r="N25" s="13"/>
      <c r="O25" s="144"/>
      <c r="P25" s="144"/>
      <c r="Q25" s="11"/>
      <c r="R25" s="143"/>
      <c r="S25" s="144"/>
      <c r="T25" s="320"/>
      <c r="U25" s="320"/>
      <c r="V25" s="320"/>
      <c r="W25" s="376" t="b">
        <f t="shared" si="2"/>
        <v>0</v>
      </c>
      <c r="X25" s="142" t="b">
        <f t="shared" si="3"/>
        <v>0</v>
      </c>
    </row>
    <row r="26" spans="1:33" x14ac:dyDescent="0.35">
      <c r="A26" s="10"/>
      <c r="B26" s="13"/>
      <c r="C26" s="81"/>
      <c r="D26" s="11"/>
      <c r="E26" s="15"/>
      <c r="F26" s="82"/>
      <c r="G26" s="217"/>
      <c r="H26" s="317" t="str">
        <f t="shared" si="0"/>
        <v/>
      </c>
      <c r="I26" s="13"/>
      <c r="J26" s="83"/>
      <c r="K26" s="84"/>
      <c r="L26" s="375" t="str">
        <f t="shared" si="1"/>
        <v/>
      </c>
      <c r="M26" s="232"/>
      <c r="N26" s="13"/>
      <c r="O26" s="144"/>
      <c r="P26" s="144"/>
      <c r="Q26" s="11"/>
      <c r="R26" s="143"/>
      <c r="S26" s="144"/>
      <c r="T26" s="320"/>
      <c r="U26" s="320"/>
      <c r="V26" s="320"/>
      <c r="W26" s="376" t="b">
        <f t="shared" si="2"/>
        <v>0</v>
      </c>
      <c r="X26" s="142" t="b">
        <f t="shared" si="3"/>
        <v>0</v>
      </c>
    </row>
    <row r="27" spans="1:33" x14ac:dyDescent="0.35">
      <c r="A27" s="10"/>
      <c r="B27" s="13"/>
      <c r="C27" s="81"/>
      <c r="D27" s="11"/>
      <c r="E27" s="15"/>
      <c r="F27" s="82"/>
      <c r="G27" s="217"/>
      <c r="H27" s="317" t="str">
        <f t="shared" si="0"/>
        <v/>
      </c>
      <c r="I27" s="13"/>
      <c r="J27" s="83"/>
      <c r="K27" s="84"/>
      <c r="L27" s="375" t="str">
        <f t="shared" si="1"/>
        <v/>
      </c>
      <c r="M27" s="232"/>
      <c r="N27" s="13"/>
      <c r="O27" s="144"/>
      <c r="P27" s="144"/>
      <c r="Q27" s="11"/>
      <c r="R27" s="143"/>
      <c r="S27" s="144"/>
      <c r="T27" s="320"/>
      <c r="U27" s="320"/>
      <c r="V27" s="320"/>
      <c r="W27" s="376" t="b">
        <f t="shared" si="2"/>
        <v>0</v>
      </c>
      <c r="X27" s="142" t="b">
        <f t="shared" si="3"/>
        <v>0</v>
      </c>
    </row>
    <row r="28" spans="1:33" x14ac:dyDescent="0.35">
      <c r="A28" s="10"/>
      <c r="B28" s="13"/>
      <c r="C28" s="81"/>
      <c r="D28" s="11"/>
      <c r="E28" s="15"/>
      <c r="F28" s="82"/>
      <c r="G28" s="217"/>
      <c r="H28" s="317" t="str">
        <f t="shared" si="0"/>
        <v/>
      </c>
      <c r="I28" s="13"/>
      <c r="J28" s="83"/>
      <c r="K28" s="84"/>
      <c r="L28" s="375" t="str">
        <f t="shared" si="1"/>
        <v/>
      </c>
      <c r="M28" s="232"/>
      <c r="N28" s="13"/>
      <c r="O28" s="144"/>
      <c r="P28" s="144"/>
      <c r="Q28" s="11"/>
      <c r="R28" s="143"/>
      <c r="S28" s="144"/>
      <c r="T28" s="320"/>
      <c r="U28" s="320"/>
      <c r="V28" s="320"/>
      <c r="W28" s="376" t="b">
        <f t="shared" si="2"/>
        <v>0</v>
      </c>
      <c r="X28" s="142" t="b">
        <f t="shared" si="3"/>
        <v>0</v>
      </c>
    </row>
    <row r="29" spans="1:33" x14ac:dyDescent="0.35">
      <c r="A29" s="10"/>
      <c r="B29" s="13"/>
      <c r="C29" s="81"/>
      <c r="D29" s="11"/>
      <c r="E29" s="15"/>
      <c r="F29" s="82"/>
      <c r="G29" s="217"/>
      <c r="H29" s="317" t="str">
        <f t="shared" si="0"/>
        <v/>
      </c>
      <c r="I29" s="13"/>
      <c r="J29" s="83"/>
      <c r="K29" s="84"/>
      <c r="L29" s="375" t="str">
        <f t="shared" si="1"/>
        <v/>
      </c>
      <c r="M29" s="232"/>
      <c r="N29" s="13"/>
      <c r="O29" s="144"/>
      <c r="P29" s="144"/>
      <c r="Q29" s="11"/>
      <c r="R29" s="143"/>
      <c r="S29" s="144"/>
      <c r="T29" s="320"/>
      <c r="U29" s="320"/>
      <c r="V29" s="320"/>
      <c r="W29" s="376" t="b">
        <f t="shared" si="2"/>
        <v>0</v>
      </c>
      <c r="X29" s="142" t="b">
        <f t="shared" si="3"/>
        <v>0</v>
      </c>
    </row>
    <row r="30" spans="1:33" x14ac:dyDescent="0.35">
      <c r="A30" s="10"/>
      <c r="B30" s="13"/>
      <c r="C30" s="81"/>
      <c r="D30" s="11"/>
      <c r="E30" s="15"/>
      <c r="F30" s="82"/>
      <c r="G30" s="217"/>
      <c r="H30" s="317" t="str">
        <f t="shared" si="0"/>
        <v/>
      </c>
      <c r="I30" s="13"/>
      <c r="J30" s="83"/>
      <c r="K30" s="84"/>
      <c r="L30" s="375" t="str">
        <f t="shared" si="1"/>
        <v/>
      </c>
      <c r="M30" s="232"/>
      <c r="N30" s="13"/>
      <c r="O30" s="144"/>
      <c r="P30" s="144"/>
      <c r="Q30" s="11"/>
      <c r="R30" s="143"/>
      <c r="S30" s="144"/>
      <c r="T30" s="320"/>
      <c r="U30" s="320"/>
      <c r="V30" s="320"/>
      <c r="W30" s="376" t="b">
        <f t="shared" si="2"/>
        <v>0</v>
      </c>
      <c r="X30" s="142" t="b">
        <f t="shared" si="3"/>
        <v>0</v>
      </c>
    </row>
    <row r="31" spans="1:33" x14ac:dyDescent="0.35">
      <c r="A31" s="10"/>
      <c r="B31" s="13"/>
      <c r="C31" s="81"/>
      <c r="D31" s="11"/>
      <c r="E31" s="15"/>
      <c r="F31" s="82"/>
      <c r="G31" s="217"/>
      <c r="H31" s="317" t="str">
        <f t="shared" si="0"/>
        <v/>
      </c>
      <c r="I31" s="13"/>
      <c r="J31" s="83"/>
      <c r="K31" s="84"/>
      <c r="L31" s="375" t="str">
        <f t="shared" si="1"/>
        <v/>
      </c>
      <c r="M31" s="232"/>
      <c r="N31" s="13"/>
      <c r="O31" s="144"/>
      <c r="P31" s="144"/>
      <c r="Q31" s="11"/>
      <c r="R31" s="143"/>
      <c r="S31" s="144"/>
      <c r="W31" s="376" t="b">
        <f t="shared" si="2"/>
        <v>0</v>
      </c>
      <c r="X31" s="142" t="b">
        <f t="shared" si="3"/>
        <v>0</v>
      </c>
    </row>
    <row r="32" spans="1:33" x14ac:dyDescent="0.35">
      <c r="A32" s="10"/>
      <c r="B32" s="13"/>
      <c r="C32" s="81"/>
      <c r="D32" s="11"/>
      <c r="E32" s="15"/>
      <c r="F32" s="82"/>
      <c r="G32" s="217"/>
      <c r="H32" s="317" t="str">
        <f t="shared" si="0"/>
        <v/>
      </c>
      <c r="I32" s="13"/>
      <c r="J32" s="83"/>
      <c r="K32" s="84"/>
      <c r="L32" s="375" t="str">
        <f t="shared" si="1"/>
        <v/>
      </c>
      <c r="M32" s="232"/>
      <c r="N32" s="13"/>
      <c r="O32" s="144"/>
      <c r="P32" s="144"/>
      <c r="Q32" s="11"/>
      <c r="R32" s="143"/>
      <c r="S32" s="144"/>
      <c r="W32" s="376" t="b">
        <f t="shared" si="2"/>
        <v>0</v>
      </c>
      <c r="X32" s="142" t="b">
        <f t="shared" si="3"/>
        <v>0</v>
      </c>
    </row>
    <row r="33" spans="1:24" x14ac:dyDescent="0.35">
      <c r="A33" s="10"/>
      <c r="B33" s="13"/>
      <c r="C33" s="81"/>
      <c r="D33" s="11"/>
      <c r="E33" s="15"/>
      <c r="F33" s="82"/>
      <c r="G33" s="217"/>
      <c r="H33" s="317" t="str">
        <f t="shared" si="0"/>
        <v/>
      </c>
      <c r="I33" s="13"/>
      <c r="J33" s="83"/>
      <c r="K33" s="84"/>
      <c r="L33" s="375" t="str">
        <f t="shared" si="1"/>
        <v/>
      </c>
      <c r="M33" s="232"/>
      <c r="N33" s="13"/>
      <c r="O33" s="144"/>
      <c r="P33" s="144"/>
      <c r="Q33" s="11"/>
      <c r="R33" s="143"/>
      <c r="S33" s="144"/>
      <c r="W33" s="376" t="b">
        <f t="shared" si="2"/>
        <v>0</v>
      </c>
      <c r="X33" s="142" t="b">
        <f t="shared" si="3"/>
        <v>0</v>
      </c>
    </row>
    <row r="34" spans="1:24" x14ac:dyDescent="0.35">
      <c r="A34" s="10"/>
      <c r="B34" s="13"/>
      <c r="C34" s="81"/>
      <c r="D34" s="11"/>
      <c r="E34" s="15"/>
      <c r="F34" s="82"/>
      <c r="G34" s="217"/>
      <c r="H34" s="317" t="str">
        <f t="shared" si="0"/>
        <v/>
      </c>
      <c r="I34" s="13"/>
      <c r="J34" s="83"/>
      <c r="K34" s="84"/>
      <c r="L34" s="375" t="str">
        <f t="shared" si="1"/>
        <v/>
      </c>
      <c r="M34" s="232"/>
      <c r="N34" s="13"/>
      <c r="O34" s="144"/>
      <c r="P34" s="144"/>
      <c r="Q34" s="11"/>
      <c r="R34" s="143"/>
      <c r="S34" s="144"/>
      <c r="W34" s="376" t="b">
        <f>AND(OR(LEN(B34)&lt;&gt;0,LEN(C34)&lt;&gt;0,LEN(E34)&lt;&gt;0,LEN(J34)&lt;&gt;0,LEN(K34)&lt;&gt;0,LEN(M34)&lt;&gt;0,LEN(N34)&lt;&gt;0)=TRUE,X34=TRUE)</f>
        <v>0</v>
      </c>
      <c r="X34" s="142" t="b">
        <f t="shared" si="3"/>
        <v>0</v>
      </c>
    </row>
    <row r="35" spans="1:24" x14ac:dyDescent="0.35">
      <c r="A35" s="10"/>
      <c r="B35" s="13"/>
      <c r="C35" s="81"/>
      <c r="D35" s="11"/>
      <c r="E35" s="15"/>
      <c r="F35" s="82"/>
      <c r="G35" s="217"/>
      <c r="H35" s="317" t="str">
        <f t="shared" si="0"/>
        <v/>
      </c>
      <c r="I35" s="13"/>
      <c r="J35" s="83"/>
      <c r="K35" s="84"/>
      <c r="L35" s="375" t="str">
        <f t="shared" si="1"/>
        <v/>
      </c>
      <c r="M35" s="232"/>
      <c r="N35" s="13"/>
      <c r="O35" s="144"/>
      <c r="P35" s="144"/>
      <c r="Q35" s="11"/>
      <c r="R35" s="143"/>
      <c r="S35" s="144"/>
      <c r="W35" s="376" t="b">
        <f>AND(OR(LEN(B35)&lt;&gt;0,LEN(C35)&lt;&gt;0,LEN(E35)&lt;&gt;0,LEN(J35)&lt;&gt;0,LEN(K35)&lt;&gt;0,LEN(M35)&lt;&gt;0,LEN(N35)&lt;&gt;0)=TRUE,X35=TRUE)</f>
        <v>0</v>
      </c>
      <c r="X35" s="142" t="b">
        <f t="shared" si="3"/>
        <v>0</v>
      </c>
    </row>
    <row r="36" spans="1:24" x14ac:dyDescent="0.35">
      <c r="A36" s="10"/>
      <c r="B36" s="13"/>
      <c r="C36" s="81"/>
      <c r="D36" s="11"/>
      <c r="E36" s="15"/>
      <c r="F36" s="82"/>
      <c r="G36" s="217"/>
      <c r="H36" s="317" t="str">
        <f t="shared" si="0"/>
        <v/>
      </c>
      <c r="I36" s="13"/>
      <c r="J36" s="83"/>
      <c r="K36" s="84"/>
      <c r="L36" s="375" t="str">
        <f t="shared" si="1"/>
        <v/>
      </c>
      <c r="M36" s="232"/>
      <c r="N36" s="13"/>
      <c r="O36" s="144"/>
      <c r="P36" s="144"/>
      <c r="Q36" s="11"/>
      <c r="R36" s="143"/>
      <c r="S36" s="144"/>
      <c r="W36" s="376" t="b">
        <f>AND(OR(LEN(B36)&lt;&gt;0,LEN(C36)&lt;&gt;0,LEN(E36)&lt;&gt;0,LEN(J36)&lt;&gt;0,LEN(K36)&lt;&gt;0,LEN(M36)&lt;&gt;0,LEN(N36)&lt;&gt;0)=TRUE,X36=TRUE)</f>
        <v>0</v>
      </c>
      <c r="X36" s="142" t="b">
        <f>IF(OR(F36="CHQ",F36="EFE"),TRUE,IF(AND(OR(F36="V/M",F36="AME"),LEN(I36)&lt;&gt;0),TRUE,IF(AND(OR(F36="CTA",F36="BAN",F36="TAR"),AND(LEN(G36)&lt;&gt;0,LEN(I36)&lt;&gt;0)),TRUE,FALSE)))</f>
        <v>0</v>
      </c>
    </row>
    <row r="37" spans="1:24" x14ac:dyDescent="0.35">
      <c r="O37" s="320"/>
      <c r="P37" s="320"/>
      <c r="Q37" s="320"/>
      <c r="R37" s="320"/>
      <c r="S37" s="320"/>
      <c r="W37" s="321"/>
      <c r="X37" s="319"/>
    </row>
    <row r="38" spans="1:24" x14ac:dyDescent="0.35">
      <c r="O38" s="320"/>
      <c r="P38" s="320"/>
      <c r="Q38" s="320"/>
      <c r="R38" s="320"/>
      <c r="S38" s="320"/>
      <c r="W38" s="321"/>
      <c r="X38" s="319"/>
    </row>
    <row r="39" spans="1:24" x14ac:dyDescent="0.35">
      <c r="W39" s="321"/>
      <c r="X39" s="319"/>
    </row>
  </sheetData>
  <sheetProtection password="EAD8" sheet="1" objects="1" scenarios="1" deleteRows="0" selectLockedCells="1" autoFilter="0"/>
  <dataConsolidate/>
  <mergeCells count="6">
    <mergeCell ref="O11:S11"/>
    <mergeCell ref="H12:I12"/>
    <mergeCell ref="H10:J10"/>
    <mergeCell ref="A1:K1"/>
    <mergeCell ref="A11:N11"/>
    <mergeCell ref="B4:K4"/>
  </mergeCells>
  <phoneticPr fontId="13" type="noConversion"/>
  <conditionalFormatting sqref="I2:I3">
    <cfRule type="expression" dxfId="31" priority="436" stopIfTrue="1">
      <formula>"""=SI(RESIDUO(FILA();2)=0;VERDADERO;FALSO)"""</formula>
    </cfRule>
  </conditionalFormatting>
  <conditionalFormatting sqref="A13:S13 G15:G35 F15:F36 A15:E35 A14:G14 H14:H36 I14:K35 M14:S35 L14:L36">
    <cfRule type="expression" dxfId="30" priority="29" stopIfTrue="1">
      <formula>IF(RESIDUO(ROW(),2)=0,TRUE,FALSE)</formula>
    </cfRule>
  </conditionalFormatting>
  <conditionalFormatting sqref="H13:H36">
    <cfRule type="expression" dxfId="29" priority="28" stopIfTrue="1">
      <formula>OR(F13="EFE",F13="CHQ",F13="AME",F13="TAR",F13="V/M")</formula>
    </cfRule>
  </conditionalFormatting>
  <conditionalFormatting sqref="I13:I35">
    <cfRule type="expression" dxfId="28" priority="27" stopIfTrue="1">
      <formula>OR(F13="EFE",F13="CHQ")</formula>
    </cfRule>
  </conditionalFormatting>
  <conditionalFormatting sqref="A36:E36 G36 I36:K36 M36:S36">
    <cfRule type="expression" dxfId="27" priority="26" stopIfTrue="1">
      <formula>IF(RESIDUO(ROW(),2)=0,TRUE,FALSE)</formula>
    </cfRule>
  </conditionalFormatting>
  <conditionalFormatting sqref="I36">
    <cfRule type="expression" dxfId="26" priority="24" stopIfTrue="1">
      <formula>OR(F36="EFE",F36="CHQ")</formula>
    </cfRule>
  </conditionalFormatting>
  <dataValidations xWindow="1180" yWindow="888" count="21">
    <dataValidation type="textLength" operator="equal" showInputMessage="1" showErrorMessage="1" errorTitle="ADVERTENCIA" error="Ingrese Código de Banco correcto. Ej.: 0116._x000a__x000a_Modalidad de Pago CHQ, EFE o V/M, no requieren Código de Banco._x000a__x000a_* Valide que el campo anterior este completado." prompt="Indique el código del banco correspondiente a la Cuenta donde se acreditará el pago.    Ej: 0116." sqref="G13" xr:uid="{00000000-0002-0000-0D00-000000000000}">
      <formula1>IF(OR(F13="CTA",F13="BAN",F13="TAR"),4,0)</formula1>
    </dataValidation>
    <dataValidation type="custom" operator="greaterThan" showInputMessage="1" showErrorMessage="1" errorTitle="ADVERTENCIA" error="Campo Numérico de 17 posiciones._x000a__x000a_* Valide que la línea anterior esté debidamente cumplimentada." prompt="Ingrese el N° de Contrato correspondiente al Beneficiario." sqref="B14:B36" xr:uid="{00000000-0002-0000-0D00-000001000000}">
      <formula1>IF(AND(LEN(B14)=17,W13=TRUE),SUMPRODUCT(N(SEARCH(MID(B14,ROW(INDIRECT("1:"&amp;LEN(B14))),1),"0123456789,. ")&gt;0))=LEN(B14),0)</formula1>
    </dataValidation>
    <dataValidation type="custom" showInputMessage="1" showErrorMessage="1" errorTitle="ADVERTENCIA" error="Campo de numérico de 11 posiciones." prompt="Indique el número de teléfono celular del beneficiario. Campo OBLIGATORIO." sqref="N13:N36" xr:uid="{00000000-0002-0000-0D00-000002000000}">
      <formula1>SUMPRODUCT(N(SEARCH(MID(N13,ROW(INDIRECT("1:"&amp;LEN(99999999999))),1),"0123456789")&gt;0))=LEN(N13)</formula1>
    </dataValidation>
    <dataValidation type="custom" allowBlank="1" showInputMessage="1" showErrorMessage="1" errorTitle="ADVERTENCIA" error="Campo alfanumérico de 60 posiciones. No acepta &quot;Ñ&quot; ni caracteres especiales. " prompt="Coloque el Nombre Completo o Razón Social del autorizado a retirar el (los) pago(s). No acepta &quot;Ñ&quot; ni caracteres especiales." sqref="R13:R36" xr:uid="{00000000-0002-0000-0D00-000003000000}">
      <formula1>IF(LEN(R13)&lt;=60,SUMPRODUCT(N(SEARCH(MID(R13,ROW(INDIRECT("1:"&amp;LEN(R13))),1),"AÁBCDEÉFGHIÍJKLMNOÓPQRSTUÚVWXYZ0123456789,. ")&gt;0))=LEN(R13),0)</formula1>
    </dataValidation>
    <dataValidation type="whole" allowBlank="1" showInputMessage="1" showErrorMessage="1" errorTitle="ADVERTENCIA" error="Solo puede ser un (1) autorizado por beneficiario." prompt="Escriba la Identificación de registro de Autorizados. Puede ser (1) autorizado por beneficiario." sqref="O13:O36" xr:uid="{00000000-0002-0000-0D00-000004000000}">
      <formula1>0</formula1>
      <formula2>1</formula2>
    </dataValidation>
    <dataValidation type="decimal" allowBlank="1" showInputMessage="1" showErrorMessage="1" errorTitle="ADVERTENCIA" error="Campo númerico de 13 posiciones enteros y 2 decimales." prompt="Coloque el monto máximo de la operación." sqref="K13:K36" xr:uid="{00000000-0002-0000-0D00-000005000000}">
      <formula1>0</formula1>
      <formula2>9999999999999</formula2>
    </dataValidation>
    <dataValidation type="list" showInputMessage="1" showErrorMessage="1" errorTitle="ADVERTENCIA" error="Seleccione de la lista desplegable la opción que corresponda._x000a__x000a_* Valide que el campo anterior este completado." prompt="Seleccione de la lista desplegable el Tipo de Persona correspondiente." sqref="C13:C36" xr:uid="{00000000-0002-0000-0D00-000006000000}">
      <formula1>T_Persona</formula1>
    </dataValidation>
    <dataValidation type="list" showInputMessage="1" showErrorMessage="1" errorTitle="ADVERTENCIA" error="Seleccione de la lista desplegable la opción que corresponda." prompt="Seleccione de la lista desplegable el Tipo de Registro correspondiente." sqref="A13:A36" xr:uid="{00000000-0002-0000-0D00-000007000000}">
      <formula1>Operacion</formula1>
    </dataValidation>
    <dataValidation type="custom" allowBlank="1" showInputMessage="1" showErrorMessage="1" errorTitle="ADVERTENCIA" error="Campo alfanumérico de 60 posiciones. No acepta &quot;Ñ&quot; ni caracteres especiales. " prompt="Coloque el Nombre Completo o Razón Social del Beneficiario. No acepta &quot;Ñ&quot; ni caracteres especiales." sqref="E13:E36" xr:uid="{00000000-0002-0000-0D00-000008000000}">
      <formula1>IF(LEN(E13)&lt;=60,SUMPRODUCT(N(SEARCH(MID(E13,ROW(INDIRECT("1:"&amp;LEN(E13))),1),"AÁBCDEÉFGHIÍJKLMNOÓPQRSTUÚVWXYZ0123456789,. ")&gt;0))=LEN(E13),0)</formula1>
    </dataValidation>
    <dataValidation type="custom" operator="greaterThan" showInputMessage="1" showErrorMessage="1" errorTitle="ADVERTENCIA" error="Campo Numérico de 17 posiciones._x000a__x000a_* Valide que el campo anterior este completado" prompt="Ingrese el N° de Contrato correspondiente al Beneficiario." sqref="B13" xr:uid="{00000000-0002-0000-0D00-000009000000}">
      <formula1>IF(LEN(B13)=17,SUMPRODUCT(N(SEARCH(MID(B13,ROW(INDIRECT("1:"&amp;LEN(B13))),1),"0123456789,. ")&gt;0))=LEN(B13),0)</formula1>
    </dataValidation>
    <dataValidation type="textLength" operator="lessThanOrEqual" allowBlank="1" showInputMessage="1" showErrorMessage="1" errorTitle="ADVERTENCIA" error="Campo alfanumérico de 40 posiciones. _x000a__x000a_* Debe contener dirección de correo electrónico válida." prompt="Coloque la dirección de correo electrónico del beneficiario. Campo  OBLIGATORIO." sqref="M13:M36" xr:uid="{00000000-0002-0000-0D00-00000A000000}">
      <formula1>IF(ISERROR(FIND("@",M13,1)),0,40)</formula1>
    </dataValidation>
    <dataValidation type="list" showInputMessage="1" showErrorMessage="1" errorTitle="ADVERTENCIA" error="Seleccione de la lista desplegable la opción que corresponda. * Valide que el campo anterior este completado." promptTitle="Indique la Modalidad en la cual" prompt="se realizará el Pago:_x000a_CTA= Cuenta mismo Banco_x000a_BAN= Cuenta otro Banco_x000a_CHQ= Cheque de Gerencia_x000a_EFE = Efectivo_x000a_TAR= TC Visa/Master/Amex otro Banco_x000a_V/M = TC Visa / Master mismo Banco, si el beneficiario no está registrado" sqref="F13:F36" xr:uid="{00000000-0002-0000-0D00-00000B000000}">
      <formula1>IF(LEN(E13)=0,_Null,Modalidad)</formula1>
    </dataValidation>
    <dataValidation type="list" showInputMessage="1" showErrorMessage="1" errorTitle="ADVERTENCIA" error="Seleccione de la lista desplegable la opción que corresponda._x000a__x000a_* Valide que el campo anterior este completado." prompt="Seleccione de la lista desplegable el Status correspondiente al Beneficiario." sqref="S13:S36" xr:uid="{00000000-0002-0000-0D00-00000C000000}">
      <formula1>IF(P13=0,_Null,Status_Benef)</formula1>
    </dataValidation>
    <dataValidation type="list" showInputMessage="1" showErrorMessage="1" errorTitle="ADVERTENCIA" error="Seleccione de la lista desplegable la opción que corresponda._x000a__x000a_* Valide que el campo anterior este completado." prompt="Seleccione de la lista desplegable el Tipo de Persona correspondiente." sqref="P13:P36" xr:uid="{00000000-0002-0000-0D00-00000D000000}">
      <formula1>IF(LEN(O13)=0,_Null,T_Persona)</formula1>
    </dataValidation>
    <dataValidation type="whole" showInputMessage="1" showErrorMessage="1" errorTitle="ADVETENCIA" error="Ingrese un N° de C.I. / R.I.F. válido. (9 dígitos)._x000a__x000a_* Valide que el campo anterior este completado." prompt="Coloque el número de identificación (Cédula de Identidad o R.I.F.) del beneficiario." sqref="D13:D36" xr:uid="{00000000-0002-0000-0D00-00000E000000}">
      <formula1>IF(LEN($C13)=0,999999999,0)</formula1>
      <formula2>IF(LEN($C13)=0,0,999999999)</formula2>
    </dataValidation>
    <dataValidation type="whole" showInputMessage="1" showErrorMessage="1" errorTitle="ADVETENCIA" error="Ingrese un N° de C.I. / R.I.F. válido. (9 dígitos)._x000a__x000a_* Valide que el campo anterior este completado." prompt="Coloque el número de identificación (Cédula de Identidad o R.I.F.) de la persona autorizada a retirar los pagos." sqref="Q13:Q36" xr:uid="{00000000-0002-0000-0D00-00000F000000}">
      <formula1>IF(LEN($C13)=0,999999999,0)</formula1>
      <formula2>IF(LEN($C13)=0,0,999999999)</formula2>
    </dataValidation>
    <dataValidation type="list" showInputMessage="1" showErrorMessage="1" errorTitle="ADVERTENCIA" error="Seleccione de la lista desplegable la opción que corresponda._x000a__x000a_* Valide que el campo anterior este completado." prompt="Seleccione de la lista desplegable el Status correspondiente al Beneficiario." sqref="J13:J36" xr:uid="{00000000-0002-0000-0D00-000010000000}">
      <formula1>IF(F13=0,_Null,Status_Benef)</formula1>
    </dataValidation>
    <dataValidation type="textLength" operator="equal" showInputMessage="1" showErrorMessage="1" errorTitle="ADVERTENCIA" error="Ingrese Código de Banco correcto. Ej.: 0116._x000a__x000a_Modalidad de Pago CHQ o EFE, no requieren Código de Banco._x000a__x000a_* Valide que el campo anterior este completado." prompt="Indique el código del banco correspondiente a la Cuenta donde se acreditará el pago.    Ej: 0116." sqref="G14:G36" xr:uid="{00000000-0002-0000-0D00-000011000000}">
      <formula1>IF(OR(F14="CTA",F14="BAN",F14="TAR",F14="AME",F14="V/M"),4,0)</formula1>
    </dataValidation>
    <dataValidation type="custom" operator="equal" showInputMessage="1" showErrorMessage="1" errorTitle="ADVERTENCIA" error="Campo numérico de llenado OBLIGATORIO de 15 digitos para Amex y 16 digitos para Cuentas, Tarjetas Visa y Master Card._x000a__x000a_* Valide que el campo anterior este completado." prompt="Indique el Número de la Cuenta, en la cual se acreditará el pago.     Campo de llenado OBLIGATORIO sólo para los casos de Abono en cuenta del mismo banco, otros bancos y TDC." sqref="I13:I36" xr:uid="{00000000-0002-0000-0D00-000012000000}">
      <formula1>IF(IF(OR(F13="CTA",F13="BAN",F13="V/M"),LEN(I13)=16,IF(F13="TAR",OR(LEN(I13)=15,LEN(I13)=16),IF(F13="AME",LEN(I13)=15))),SUMPRODUCT(N(SEARCH(MID(I13,ROW(INDIRECT("1:"&amp;LEN(I13))),1),"0123456789")&gt;0))=LEN(I13),0)</formula1>
    </dataValidation>
    <dataValidation type="custom" operator="equal" showInputMessage="1" showErrorMessage="1" errorTitle="ADVERTENCIA" error="No se pueden ingresar valores en esta celda._x000a__x000a_* Valide que el campo anterior este completado." prompt="Indique el código del banco correspondiente a la Cuenta donde se acreditará el pago.    Ej: 0116." sqref="H13:H36" xr:uid="{00000000-0002-0000-0D00-000013000000}">
      <formula1>IF(G13="","",IF(OR(F13="BAN",F13="CTA"),G13,""))</formula1>
    </dataValidation>
    <dataValidation type="custom" showInputMessage="1" showErrorMessage="1" errorTitle="ADVERTENCIA" error="No se pueden introducir valores en esta celda." sqref="L13:L36" xr:uid="{00000000-0002-0000-0D00-000014000000}">
      <formula1>IF(K13=0,"","VEB")</formula1>
    </dataValidation>
  </dataValidations>
  <pageMargins left="0.27559055118110237" right="0.23622047244094491" top="0.51181102362204722" bottom="0.59055118110236227" header="0.31496062992125984" footer="0.31496062992125984"/>
  <pageSetup scale="48" orientation="landscape" verticalDpi="1200" r:id="rId1"/>
  <headerFooter>
    <oddFooter>&amp;L&amp;"Trebuchet MS,Normal"&amp;7&amp;K00-049EN-CP-E-0036-17
B.O.D, BANCO UNIVERSAL C.A. RIF J-30061946-0</oddFooter>
  </headerFooter>
  <drawing r:id="rId2"/>
  <legacyDrawing r:id="rId3"/>
  <controls>
    <mc:AlternateContent xmlns:mc="http://schemas.openxmlformats.org/markup-compatibility/2006">
      <mc:Choice Requires="x14">
        <control shapeId="10724" r:id="rId4" name="CommandButton5">
          <controlPr defaultSize="0" autoLine="0" r:id="rId5">
            <anchor moveWithCells="1">
              <from>
                <xdr:col>4</xdr:col>
                <xdr:colOff>1590675</xdr:colOff>
                <xdr:row>51</xdr:row>
                <xdr:rowOff>47625</xdr:rowOff>
              </from>
              <to>
                <xdr:col>5</xdr:col>
                <xdr:colOff>447675</xdr:colOff>
                <xdr:row>53</xdr:row>
                <xdr:rowOff>28575</xdr:rowOff>
              </to>
            </anchor>
          </controlPr>
        </control>
      </mc:Choice>
      <mc:Fallback>
        <control shapeId="10724" r:id="rId4" name="CommandButton5"/>
      </mc:Fallback>
    </mc:AlternateContent>
    <mc:AlternateContent xmlns:mc="http://schemas.openxmlformats.org/markup-compatibility/2006">
      <mc:Choice Requires="x14">
        <control shapeId="10272" r:id="rId6" name="CommandButton4">
          <controlPr defaultSize="0" print="0" autoFill="0" autoLine="0" r:id="rId7">
            <anchor moveWithCells="1" sizeWithCells="1">
              <from>
                <xdr:col>4</xdr:col>
                <xdr:colOff>381000</xdr:colOff>
                <xdr:row>51</xdr:row>
                <xdr:rowOff>57150</xdr:rowOff>
              </from>
              <to>
                <xdr:col>4</xdr:col>
                <xdr:colOff>1562100</xdr:colOff>
                <xdr:row>53</xdr:row>
                <xdr:rowOff>38100</xdr:rowOff>
              </to>
            </anchor>
          </controlPr>
        </control>
      </mc:Choice>
      <mc:Fallback>
        <control shapeId="10272" r:id="rId6" name="CommandButton4"/>
      </mc:Fallback>
    </mc:AlternateContent>
    <mc:AlternateContent xmlns:mc="http://schemas.openxmlformats.org/markup-compatibility/2006">
      <mc:Choice Requires="x14">
        <control shapeId="10245" r:id="rId8" name="CommandButton3">
          <controlPr print="0" autoLine="0" altText="Atras" r:id="rId9">
            <anchor moveWithCells="1">
              <from>
                <xdr:col>5</xdr:col>
                <xdr:colOff>447675</xdr:colOff>
                <xdr:row>51</xdr:row>
                <xdr:rowOff>47625</xdr:rowOff>
              </from>
              <to>
                <xdr:col>7</xdr:col>
                <xdr:colOff>66675</xdr:colOff>
                <xdr:row>53</xdr:row>
                <xdr:rowOff>28575</xdr:rowOff>
              </to>
            </anchor>
          </controlPr>
        </control>
      </mc:Choice>
      <mc:Fallback>
        <control shapeId="10245" r:id="rId8" name="CommandButton3"/>
      </mc:Fallback>
    </mc:AlternateContent>
    <mc:AlternateContent xmlns:mc="http://schemas.openxmlformats.org/markup-compatibility/2006">
      <mc:Choice Requires="x14">
        <control shapeId="10244" r:id="rId10" name="CommandButton2">
          <controlPr defaultSize="0" print="0" autoLine="0" r:id="rId11">
            <anchor moveWithCells="1">
              <from>
                <xdr:col>3</xdr:col>
                <xdr:colOff>200025</xdr:colOff>
                <xdr:row>51</xdr:row>
                <xdr:rowOff>66675</xdr:rowOff>
              </from>
              <to>
                <xdr:col>4</xdr:col>
                <xdr:colOff>371475</xdr:colOff>
                <xdr:row>53</xdr:row>
                <xdr:rowOff>47625</xdr:rowOff>
              </to>
            </anchor>
          </controlPr>
        </control>
      </mc:Choice>
      <mc:Fallback>
        <control shapeId="10244" r:id="rId10" name="CommandButton2"/>
      </mc:Fallback>
    </mc:AlternateContent>
    <mc:AlternateContent xmlns:mc="http://schemas.openxmlformats.org/markup-compatibility/2006">
      <mc:Choice Requires="x14">
        <control shapeId="10243" r:id="rId12" name="CommandButton1">
          <controlPr defaultSize="0" print="0" autoFill="0" autoLine="0" autoPict="0" r:id="rId13">
            <anchor moveWithCells="1" sizeWithCells="1">
              <from>
                <xdr:col>5</xdr:col>
                <xdr:colOff>0</xdr:colOff>
                <xdr:row>38</xdr:row>
                <xdr:rowOff>47625</xdr:rowOff>
              </from>
              <to>
                <xdr:col>5</xdr:col>
                <xdr:colOff>0</xdr:colOff>
                <xdr:row>40</xdr:row>
                <xdr:rowOff>28575</xdr:rowOff>
              </to>
            </anchor>
          </controlPr>
        </control>
      </mc:Choice>
      <mc:Fallback>
        <control shapeId="10243" r:id="rId12" name="CommandButton1"/>
      </mc:Fallback>
    </mc:AlternateContent>
    <mc:AlternateContent xmlns:mc="http://schemas.openxmlformats.org/markup-compatibility/2006">
      <mc:Choice Requires="x14">
        <control shapeId="10242" r:id="rId14" name="Menos">
          <controlPr defaultSize="0" print="0" autoLine="0" r:id="rId15">
            <anchor moveWithCells="1">
              <from>
                <xdr:col>1</xdr:col>
                <xdr:colOff>1057275</xdr:colOff>
                <xdr:row>51</xdr:row>
                <xdr:rowOff>76200</xdr:rowOff>
              </from>
              <to>
                <xdr:col>3</xdr:col>
                <xdr:colOff>133350</xdr:colOff>
                <xdr:row>53</xdr:row>
                <xdr:rowOff>57150</xdr:rowOff>
              </to>
            </anchor>
          </controlPr>
        </control>
      </mc:Choice>
      <mc:Fallback>
        <control shapeId="10242" r:id="rId14" name="Menos"/>
      </mc:Fallback>
    </mc:AlternateContent>
    <mc:AlternateContent xmlns:mc="http://schemas.openxmlformats.org/markup-compatibility/2006">
      <mc:Choice Requires="x14">
        <control shapeId="10241" r:id="rId16" name="Mas_Benef">
          <controlPr defaultSize="0" print="0" autoLine="0" r:id="rId17">
            <anchor moveWithCells="1">
              <from>
                <xdr:col>1</xdr:col>
                <xdr:colOff>114300</xdr:colOff>
                <xdr:row>51</xdr:row>
                <xdr:rowOff>76200</xdr:rowOff>
              </from>
              <to>
                <xdr:col>1</xdr:col>
                <xdr:colOff>1000125</xdr:colOff>
                <xdr:row>53</xdr:row>
                <xdr:rowOff>57150</xdr:rowOff>
              </to>
            </anchor>
          </controlPr>
        </control>
      </mc:Choice>
      <mc:Fallback>
        <control shapeId="10241" r:id="rId16" name="Mas_Benef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6">
    <pageSetUpPr fitToPage="1"/>
  </sheetPr>
  <dimension ref="A1:AJ34"/>
  <sheetViews>
    <sheetView showGridLines="0" showRowColHeaders="0" topLeftCell="A2" zoomScaleNormal="100" workbookViewId="0">
      <selection activeCell="A10" sqref="A10"/>
    </sheetView>
  </sheetViews>
  <sheetFormatPr baseColWidth="10" defaultColWidth="11.42578125" defaultRowHeight="15" x14ac:dyDescent="0.35"/>
  <cols>
    <col min="1" max="1" width="13.28515625" style="7" customWidth="1"/>
    <col min="2" max="2" width="16.85546875" style="7" customWidth="1"/>
    <col min="3" max="3" width="9.85546875" style="7" customWidth="1"/>
    <col min="4" max="4" width="15.140625" style="7" customWidth="1"/>
    <col min="5" max="5" width="30.42578125" style="8" customWidth="1"/>
    <col min="6" max="6" width="9.85546875" style="8" customWidth="1"/>
    <col min="7" max="7" width="19.28515625" style="7" customWidth="1"/>
    <col min="8" max="8" width="10.140625" style="7" customWidth="1"/>
    <col min="9" max="9" width="12.140625" style="7" customWidth="1"/>
    <col min="10" max="10" width="19.140625" style="7" customWidth="1"/>
    <col min="11" max="11" width="11" style="7" customWidth="1"/>
    <col min="12" max="12" width="25.42578125" style="7" customWidth="1"/>
    <col min="13" max="17" width="11.85546875" style="7" customWidth="1"/>
    <col min="18" max="18" width="12.140625" style="7" customWidth="1"/>
    <col min="19" max="19" width="10.7109375" style="7" customWidth="1"/>
    <col min="20" max="20" width="15" style="7" customWidth="1"/>
    <col min="21" max="21" width="28.5703125" style="7" customWidth="1"/>
    <col min="22" max="22" width="11.7109375" style="7" customWidth="1"/>
    <col min="23" max="23" width="10.7109375" style="7" customWidth="1"/>
    <col min="24" max="16384" width="11.42578125" style="7"/>
  </cols>
  <sheetData>
    <row r="1" spans="1:31" ht="16.5" hidden="1" customHeight="1" x14ac:dyDescent="0.35">
      <c r="A1" s="437"/>
      <c r="B1" s="437"/>
      <c r="C1" s="437"/>
      <c r="D1" s="437"/>
      <c r="E1" s="437"/>
      <c r="F1" s="437"/>
      <c r="G1" s="437"/>
      <c r="H1" s="437"/>
      <c r="I1" s="437"/>
      <c r="J1" s="437"/>
      <c r="K1" s="17"/>
      <c r="L1" s="17"/>
      <c r="M1" s="17"/>
      <c r="N1" s="17"/>
      <c r="O1" s="17"/>
      <c r="P1" s="17"/>
      <c r="Q1" s="17"/>
      <c r="R1" s="17"/>
      <c r="S1" s="79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</row>
    <row r="2" spans="1:31" ht="16.5" x14ac:dyDescent="0.35">
      <c r="B2" s="19"/>
      <c r="C2" s="19"/>
      <c r="D2" s="19"/>
      <c r="E2"/>
      <c r="F2"/>
      <c r="G2" s="19"/>
      <c r="H2" s="20"/>
      <c r="I2" s="20"/>
      <c r="J2" s="16"/>
      <c r="K2" s="80"/>
      <c r="L2" s="80"/>
      <c r="W2" s="17"/>
      <c r="X2" s="17"/>
      <c r="Y2" s="17"/>
      <c r="Z2" s="17"/>
      <c r="AA2" s="17"/>
      <c r="AB2" s="17"/>
      <c r="AC2" s="17"/>
      <c r="AD2" s="16"/>
      <c r="AE2" s="16"/>
    </row>
    <row r="3" spans="1:31" s="1" customFormat="1" ht="16.5" x14ac:dyDescent="0.3">
      <c r="E3" s="4"/>
      <c r="F3" s="4"/>
      <c r="S3" s="6">
        <v>1</v>
      </c>
    </row>
    <row r="4" spans="1:31" s="1" customFormat="1" ht="16.5" x14ac:dyDescent="0.3">
      <c r="E4" s="4"/>
      <c r="F4" s="4"/>
    </row>
    <row r="5" spans="1:31" s="1" customFormat="1" ht="18" x14ac:dyDescent="0.35">
      <c r="B5" s="420" t="s">
        <v>305</v>
      </c>
      <c r="C5" s="420"/>
      <c r="D5" s="420"/>
      <c r="E5" s="420"/>
      <c r="F5" s="420"/>
      <c r="G5" s="420"/>
      <c r="H5" s="420"/>
      <c r="I5" s="420"/>
      <c r="J5" s="420"/>
      <c r="K5" s="420"/>
      <c r="L5" s="420"/>
      <c r="M5" s="420"/>
      <c r="N5" s="147"/>
      <c r="O5" s="147"/>
      <c r="P5" s="147"/>
      <c r="Q5" s="147"/>
    </row>
    <row r="6" spans="1:31" s="1" customFormat="1" ht="16.5" x14ac:dyDescent="0.3">
      <c r="E6" s="4"/>
      <c r="F6" s="4"/>
    </row>
    <row r="7" spans="1:31" s="1" customFormat="1" ht="17.25" thickBot="1" x14ac:dyDescent="0.35">
      <c r="E7" s="4"/>
      <c r="F7" s="4"/>
    </row>
    <row r="8" spans="1:31" s="1" customFormat="1" ht="15.75" customHeight="1" x14ac:dyDescent="0.35">
      <c r="A8" s="440" t="s">
        <v>232</v>
      </c>
      <c r="B8" s="441"/>
      <c r="C8" s="441"/>
      <c r="D8" s="441"/>
      <c r="E8" s="441"/>
      <c r="F8" s="441"/>
      <c r="G8" s="441"/>
      <c r="H8" s="441"/>
      <c r="I8" s="441"/>
      <c r="J8" s="441"/>
      <c r="K8" s="441"/>
      <c r="L8" s="441"/>
      <c r="M8" s="441"/>
      <c r="N8" s="445" t="s">
        <v>306</v>
      </c>
      <c r="O8" s="446"/>
      <c r="P8" s="446"/>
      <c r="Q8" s="447"/>
      <c r="R8" s="442" t="s">
        <v>280</v>
      </c>
      <c r="S8" s="443"/>
      <c r="T8" s="443"/>
      <c r="U8" s="443"/>
      <c r="V8" s="444"/>
    </row>
    <row r="9" spans="1:31" ht="27" customHeight="1" x14ac:dyDescent="0.35">
      <c r="A9" s="237" t="s">
        <v>233</v>
      </c>
      <c r="B9" s="238" t="s">
        <v>234</v>
      </c>
      <c r="C9" s="238" t="s">
        <v>1</v>
      </c>
      <c r="D9" s="238" t="s">
        <v>289</v>
      </c>
      <c r="E9" s="238" t="s">
        <v>235</v>
      </c>
      <c r="F9" s="238" t="s">
        <v>29</v>
      </c>
      <c r="G9" s="238" t="s">
        <v>226</v>
      </c>
      <c r="H9" s="238" t="s">
        <v>13</v>
      </c>
      <c r="I9" s="238" t="s">
        <v>236</v>
      </c>
      <c r="J9" s="238" t="s">
        <v>237</v>
      </c>
      <c r="K9" s="238" t="s">
        <v>8</v>
      </c>
      <c r="L9" s="238" t="s">
        <v>16</v>
      </c>
      <c r="M9" s="238" t="s">
        <v>17</v>
      </c>
      <c r="N9" s="238" t="s">
        <v>292</v>
      </c>
      <c r="O9" s="238" t="s">
        <v>290</v>
      </c>
      <c r="P9" s="238" t="s">
        <v>293</v>
      </c>
      <c r="Q9" s="238" t="s">
        <v>291</v>
      </c>
      <c r="R9" s="238" t="s">
        <v>281</v>
      </c>
      <c r="S9" s="238" t="s">
        <v>282</v>
      </c>
      <c r="T9" s="238" t="s">
        <v>285</v>
      </c>
      <c r="U9" s="238" t="s">
        <v>283</v>
      </c>
      <c r="V9" s="239" t="s">
        <v>284</v>
      </c>
    </row>
    <row r="10" spans="1:31" x14ac:dyDescent="0.35">
      <c r="A10" s="235"/>
      <c r="B10" s="13"/>
      <c r="C10" s="81"/>
      <c r="D10" s="11"/>
      <c r="E10" s="12"/>
      <c r="F10" s="82"/>
      <c r="G10" s="13"/>
      <c r="H10" s="145"/>
      <c r="I10" s="83"/>
      <c r="J10" s="84"/>
      <c r="K10" s="85"/>
      <c r="L10" s="215"/>
      <c r="M10" s="13"/>
      <c r="N10" s="13"/>
      <c r="O10" s="13"/>
      <c r="P10" s="13"/>
      <c r="Q10" s="13"/>
      <c r="R10" s="144"/>
      <c r="S10" s="144"/>
      <c r="T10" s="11"/>
      <c r="U10" s="143"/>
      <c r="V10" s="236"/>
      <c r="W10" s="24"/>
      <c r="X10" s="24"/>
      <c r="Y10" s="24"/>
      <c r="Z10" s="24"/>
    </row>
    <row r="11" spans="1:31" x14ac:dyDescent="0.35">
      <c r="A11" s="235"/>
      <c r="B11" s="13"/>
      <c r="C11" s="81"/>
      <c r="D11" s="11"/>
      <c r="E11" s="15"/>
      <c r="F11" s="82"/>
      <c r="G11" s="13"/>
      <c r="H11" s="145"/>
      <c r="I11" s="83"/>
      <c r="J11" s="84"/>
      <c r="K11" s="85"/>
      <c r="L11" s="74"/>
      <c r="M11" s="13"/>
      <c r="N11" s="13"/>
      <c r="O11" s="13"/>
      <c r="P11" s="13"/>
      <c r="Q11" s="13"/>
      <c r="R11" s="144"/>
      <c r="S11" s="144"/>
      <c r="T11" s="11"/>
      <c r="U11" s="143"/>
      <c r="V11" s="236"/>
      <c r="W11" s="24"/>
      <c r="X11" s="24"/>
      <c r="Y11" s="24"/>
      <c r="Z11" s="24"/>
    </row>
    <row r="12" spans="1:31" x14ac:dyDescent="0.35">
      <c r="A12" s="235"/>
      <c r="B12" s="13"/>
      <c r="C12" s="81"/>
      <c r="D12" s="11"/>
      <c r="E12" s="15"/>
      <c r="F12" s="82"/>
      <c r="G12" s="13"/>
      <c r="H12" s="145"/>
      <c r="I12" s="83"/>
      <c r="J12" s="84"/>
      <c r="K12" s="85"/>
      <c r="L12" s="74"/>
      <c r="M12" s="13"/>
      <c r="N12" s="13"/>
      <c r="O12" s="13"/>
      <c r="P12" s="13"/>
      <c r="Q12" s="13"/>
      <c r="R12" s="144"/>
      <c r="S12" s="144"/>
      <c r="T12" s="11"/>
      <c r="U12" s="143"/>
      <c r="V12" s="236"/>
      <c r="W12" s="24"/>
      <c r="X12" s="24"/>
      <c r="Y12" s="24"/>
      <c r="Z12" s="24"/>
    </row>
    <row r="13" spans="1:31" x14ac:dyDescent="0.35">
      <c r="A13" s="235"/>
      <c r="B13" s="13"/>
      <c r="C13" s="81"/>
      <c r="D13" s="11"/>
      <c r="E13" s="15"/>
      <c r="F13" s="82"/>
      <c r="G13" s="13"/>
      <c r="H13" s="145"/>
      <c r="I13" s="83"/>
      <c r="J13" s="84"/>
      <c r="K13" s="85"/>
      <c r="L13" s="74"/>
      <c r="M13" s="13"/>
      <c r="N13" s="13"/>
      <c r="O13" s="13"/>
      <c r="P13" s="13"/>
      <c r="Q13" s="13"/>
      <c r="R13" s="144"/>
      <c r="S13" s="144"/>
      <c r="T13" s="11"/>
      <c r="U13" s="143"/>
      <c r="V13" s="236"/>
      <c r="W13" s="24"/>
      <c r="X13" s="24"/>
      <c r="Y13" s="24"/>
      <c r="Z13" s="24"/>
    </row>
    <row r="14" spans="1:31" x14ac:dyDescent="0.35">
      <c r="A14" s="235"/>
      <c r="B14" s="13"/>
      <c r="C14" s="81"/>
      <c r="D14" s="11"/>
      <c r="E14" s="15"/>
      <c r="F14" s="82"/>
      <c r="G14" s="13"/>
      <c r="H14" s="145"/>
      <c r="I14" s="83"/>
      <c r="J14" s="84"/>
      <c r="K14" s="85"/>
      <c r="L14" s="74"/>
      <c r="M14" s="13"/>
      <c r="N14" s="13"/>
      <c r="O14" s="13"/>
      <c r="P14" s="13"/>
      <c r="Q14" s="13"/>
      <c r="R14" s="144"/>
      <c r="S14" s="144"/>
      <c r="T14" s="11"/>
      <c r="U14" s="143"/>
      <c r="V14" s="236"/>
      <c r="W14" s="24"/>
      <c r="X14" s="24"/>
      <c r="Y14" s="24"/>
      <c r="Z14" s="24"/>
    </row>
    <row r="15" spans="1:31" x14ac:dyDescent="0.35">
      <c r="A15" s="235"/>
      <c r="B15" s="13"/>
      <c r="C15" s="81"/>
      <c r="D15" s="11"/>
      <c r="E15" s="15"/>
      <c r="F15" s="82"/>
      <c r="G15" s="13"/>
      <c r="H15" s="145"/>
      <c r="I15" s="83"/>
      <c r="J15" s="84"/>
      <c r="K15" s="85"/>
      <c r="L15" s="74"/>
      <c r="M15" s="13"/>
      <c r="N15" s="13"/>
      <c r="O15" s="13"/>
      <c r="P15" s="13"/>
      <c r="Q15" s="13"/>
      <c r="R15" s="144"/>
      <c r="S15" s="144"/>
      <c r="T15" s="11"/>
      <c r="U15" s="143"/>
      <c r="V15" s="236"/>
      <c r="W15" s="24"/>
      <c r="X15" s="24"/>
      <c r="Y15" s="24"/>
      <c r="Z15" s="24"/>
    </row>
    <row r="16" spans="1:31" x14ac:dyDescent="0.35">
      <c r="A16" s="235"/>
      <c r="B16" s="13"/>
      <c r="C16" s="81"/>
      <c r="D16" s="11"/>
      <c r="E16" s="15"/>
      <c r="F16" s="82"/>
      <c r="G16" s="13"/>
      <c r="H16" s="145"/>
      <c r="I16" s="83"/>
      <c r="J16" s="84"/>
      <c r="K16" s="85"/>
      <c r="L16" s="74"/>
      <c r="M16" s="13"/>
      <c r="N16" s="13"/>
      <c r="O16" s="13"/>
      <c r="P16" s="13"/>
      <c r="Q16" s="13"/>
      <c r="R16" s="144"/>
      <c r="S16" s="144"/>
      <c r="T16" s="11"/>
      <c r="U16" s="143"/>
      <c r="V16" s="236"/>
      <c r="W16" s="24"/>
      <c r="X16" s="24"/>
      <c r="Y16" s="24"/>
      <c r="Z16" s="24"/>
    </row>
    <row r="17" spans="1:36" x14ac:dyDescent="0.35">
      <c r="A17" s="235"/>
      <c r="B17" s="13"/>
      <c r="C17" s="81"/>
      <c r="D17" s="11"/>
      <c r="E17" s="15"/>
      <c r="F17" s="82"/>
      <c r="G17" s="13"/>
      <c r="H17" s="145"/>
      <c r="I17" s="83"/>
      <c r="J17" s="84"/>
      <c r="K17" s="85"/>
      <c r="L17" s="74"/>
      <c r="M17" s="13"/>
      <c r="N17" s="13"/>
      <c r="O17" s="13"/>
      <c r="P17" s="13"/>
      <c r="Q17" s="13"/>
      <c r="R17" s="144"/>
      <c r="S17" s="144"/>
      <c r="T17" s="11"/>
      <c r="U17" s="143"/>
      <c r="V17" s="236"/>
      <c r="W17" s="24"/>
      <c r="X17" s="24"/>
      <c r="Y17" s="24"/>
      <c r="Z17" s="24"/>
    </row>
    <row r="18" spans="1:36" x14ac:dyDescent="0.35">
      <c r="A18" s="235"/>
      <c r="B18" s="13"/>
      <c r="C18" s="81"/>
      <c r="D18" s="11"/>
      <c r="E18" s="15"/>
      <c r="F18" s="82"/>
      <c r="G18" s="13"/>
      <c r="H18" s="145"/>
      <c r="I18" s="83"/>
      <c r="J18" s="84"/>
      <c r="K18" s="85"/>
      <c r="L18" s="74"/>
      <c r="M18" s="13"/>
      <c r="N18" s="13"/>
      <c r="O18" s="13"/>
      <c r="P18" s="13"/>
      <c r="Q18" s="13"/>
      <c r="R18" s="144"/>
      <c r="S18" s="144"/>
      <c r="T18" s="11"/>
      <c r="U18" s="143"/>
      <c r="V18" s="236"/>
      <c r="W18" s="24"/>
      <c r="X18" s="24"/>
      <c r="Y18" s="24"/>
      <c r="Z18" s="24"/>
    </row>
    <row r="19" spans="1:36" x14ac:dyDescent="0.35">
      <c r="A19" s="235"/>
      <c r="B19" s="13"/>
      <c r="C19" s="81"/>
      <c r="D19" s="11"/>
      <c r="E19" s="15"/>
      <c r="F19" s="82"/>
      <c r="G19" s="13"/>
      <c r="H19" s="145"/>
      <c r="I19" s="83"/>
      <c r="J19" s="84"/>
      <c r="K19" s="85"/>
      <c r="L19" s="74"/>
      <c r="M19" s="13"/>
      <c r="N19" s="13"/>
      <c r="O19" s="13"/>
      <c r="P19" s="13"/>
      <c r="Q19" s="13"/>
      <c r="R19" s="144"/>
      <c r="S19" s="144"/>
      <c r="T19" s="11"/>
      <c r="U19" s="143"/>
      <c r="V19" s="236"/>
      <c r="W19" s="24"/>
      <c r="X19" s="24"/>
      <c r="Y19" s="24"/>
      <c r="Z19" s="24"/>
    </row>
    <row r="20" spans="1:36" x14ac:dyDescent="0.35">
      <c r="A20" s="235"/>
      <c r="B20" s="13"/>
      <c r="C20" s="81"/>
      <c r="D20" s="11"/>
      <c r="E20" s="15"/>
      <c r="F20" s="82"/>
      <c r="G20" s="13"/>
      <c r="H20" s="145"/>
      <c r="I20" s="83"/>
      <c r="J20" s="84"/>
      <c r="K20" s="85"/>
      <c r="L20" s="74"/>
      <c r="M20" s="13"/>
      <c r="N20" s="13"/>
      <c r="O20" s="13"/>
      <c r="P20" s="13"/>
      <c r="Q20" s="13"/>
      <c r="R20" s="144"/>
      <c r="S20" s="144"/>
      <c r="T20" s="11"/>
      <c r="U20" s="143"/>
      <c r="V20" s="236"/>
      <c r="W20" s="86"/>
      <c r="X20" s="86"/>
      <c r="Y20" s="86"/>
      <c r="Z20" s="86"/>
      <c r="AA20" s="9"/>
      <c r="AB20" s="9"/>
      <c r="AC20" s="9"/>
      <c r="AD20" s="9"/>
      <c r="AE20" s="9"/>
      <c r="AF20" s="9"/>
      <c r="AG20" s="9"/>
      <c r="AH20" s="9"/>
      <c r="AI20" s="9"/>
      <c r="AJ20" s="9"/>
    </row>
    <row r="21" spans="1:36" x14ac:dyDescent="0.35">
      <c r="A21" s="235"/>
      <c r="B21" s="13"/>
      <c r="C21" s="81"/>
      <c r="D21" s="11"/>
      <c r="E21" s="15"/>
      <c r="F21" s="82"/>
      <c r="G21" s="13"/>
      <c r="H21" s="145"/>
      <c r="I21" s="83"/>
      <c r="J21" s="84"/>
      <c r="K21" s="85"/>
      <c r="L21" s="74"/>
      <c r="M21" s="13"/>
      <c r="N21" s="13"/>
      <c r="O21" s="13"/>
      <c r="P21" s="13"/>
      <c r="Q21" s="13"/>
      <c r="R21" s="144"/>
      <c r="S21" s="144"/>
      <c r="T21" s="11"/>
      <c r="U21" s="143"/>
      <c r="V21" s="236"/>
      <c r="W21" s="24"/>
      <c r="X21" s="24"/>
      <c r="Y21" s="24"/>
      <c r="Z21" s="24"/>
    </row>
    <row r="22" spans="1:36" x14ac:dyDescent="0.35">
      <c r="A22" s="235"/>
      <c r="B22" s="13"/>
      <c r="C22" s="81"/>
      <c r="D22" s="11"/>
      <c r="E22" s="15"/>
      <c r="F22" s="82"/>
      <c r="G22" s="13"/>
      <c r="H22" s="145"/>
      <c r="I22" s="83"/>
      <c r="J22" s="84"/>
      <c r="K22" s="85"/>
      <c r="L22" s="74"/>
      <c r="M22" s="13"/>
      <c r="N22" s="13"/>
      <c r="O22" s="13"/>
      <c r="P22" s="13"/>
      <c r="Q22" s="13"/>
      <c r="R22" s="144"/>
      <c r="S22" s="144"/>
      <c r="T22" s="11"/>
      <c r="U22" s="143"/>
      <c r="V22" s="236"/>
      <c r="W22" s="24"/>
      <c r="X22" s="24"/>
      <c r="Y22" s="24"/>
      <c r="Z22" s="24"/>
    </row>
    <row r="23" spans="1:36" x14ac:dyDescent="0.35">
      <c r="A23" s="235"/>
      <c r="B23" s="13"/>
      <c r="C23" s="81"/>
      <c r="D23" s="11"/>
      <c r="E23" s="15"/>
      <c r="F23" s="82"/>
      <c r="G23" s="13"/>
      <c r="H23" s="145"/>
      <c r="I23" s="83"/>
      <c r="J23" s="84"/>
      <c r="K23" s="85"/>
      <c r="L23" s="74"/>
      <c r="M23" s="13"/>
      <c r="N23" s="13"/>
      <c r="O23" s="13"/>
      <c r="P23" s="13"/>
      <c r="Q23" s="13"/>
      <c r="R23" s="144"/>
      <c r="S23" s="144"/>
      <c r="T23" s="11"/>
      <c r="U23" s="143"/>
      <c r="V23" s="236"/>
      <c r="W23" s="24"/>
      <c r="X23" s="24"/>
      <c r="Y23" s="24"/>
      <c r="Z23" s="24"/>
    </row>
    <row r="24" spans="1:36" x14ac:dyDescent="0.35">
      <c r="A24" s="235"/>
      <c r="B24" s="13"/>
      <c r="C24" s="81"/>
      <c r="D24" s="11"/>
      <c r="E24" s="15"/>
      <c r="F24" s="82"/>
      <c r="G24" s="13"/>
      <c r="H24" s="145"/>
      <c r="I24" s="83"/>
      <c r="J24" s="84"/>
      <c r="K24" s="85"/>
      <c r="L24" s="74"/>
      <c r="M24" s="13"/>
      <c r="N24" s="13"/>
      <c r="O24" s="13"/>
      <c r="P24" s="13"/>
      <c r="Q24" s="13"/>
      <c r="R24" s="144"/>
      <c r="S24" s="144"/>
      <c r="T24" s="11"/>
      <c r="U24" s="143"/>
      <c r="V24" s="236"/>
      <c r="W24" s="24"/>
      <c r="X24" s="24"/>
      <c r="Y24" s="24"/>
      <c r="Z24" s="24"/>
    </row>
    <row r="25" spans="1:36" x14ac:dyDescent="0.35">
      <c r="A25" s="235"/>
      <c r="B25" s="13"/>
      <c r="C25" s="81"/>
      <c r="D25" s="11"/>
      <c r="E25" s="15"/>
      <c r="F25" s="82"/>
      <c r="G25" s="13"/>
      <c r="H25" s="145"/>
      <c r="I25" s="83"/>
      <c r="J25" s="84"/>
      <c r="K25" s="85"/>
      <c r="L25" s="74"/>
      <c r="M25" s="13"/>
      <c r="N25" s="13"/>
      <c r="O25" s="13"/>
      <c r="P25" s="13"/>
      <c r="Q25" s="13"/>
      <c r="R25" s="144"/>
      <c r="S25" s="144"/>
      <c r="T25" s="11"/>
      <c r="U25" s="143"/>
      <c r="V25" s="236"/>
      <c r="W25" s="24"/>
      <c r="X25" s="24"/>
      <c r="Y25" s="24"/>
      <c r="Z25" s="24"/>
    </row>
    <row r="26" spans="1:36" x14ac:dyDescent="0.35">
      <c r="A26" s="235"/>
      <c r="B26" s="13"/>
      <c r="C26" s="81"/>
      <c r="D26" s="11"/>
      <c r="E26" s="15"/>
      <c r="F26" s="82"/>
      <c r="G26" s="13"/>
      <c r="H26" s="145"/>
      <c r="I26" s="83"/>
      <c r="J26" s="84"/>
      <c r="K26" s="85"/>
      <c r="L26" s="74"/>
      <c r="M26" s="13"/>
      <c r="N26" s="13"/>
      <c r="O26" s="13"/>
      <c r="P26" s="13"/>
      <c r="Q26" s="13"/>
      <c r="R26" s="144"/>
      <c r="S26" s="144"/>
      <c r="T26" s="11"/>
      <c r="U26" s="143"/>
      <c r="V26" s="236"/>
      <c r="W26" s="24"/>
      <c r="X26" s="24"/>
      <c r="Y26" s="24"/>
      <c r="Z26" s="24"/>
    </row>
    <row r="27" spans="1:36" x14ac:dyDescent="0.35">
      <c r="A27" s="235"/>
      <c r="B27" s="13"/>
      <c r="C27" s="81"/>
      <c r="D27" s="11"/>
      <c r="E27" s="15"/>
      <c r="F27" s="82"/>
      <c r="G27" s="13"/>
      <c r="H27" s="145"/>
      <c r="I27" s="83"/>
      <c r="J27" s="84"/>
      <c r="K27" s="85"/>
      <c r="L27" s="74"/>
      <c r="M27" s="13"/>
      <c r="N27" s="13"/>
      <c r="O27" s="13"/>
      <c r="P27" s="13"/>
      <c r="Q27" s="13"/>
      <c r="R27" s="144"/>
      <c r="S27" s="144"/>
      <c r="T27" s="11"/>
      <c r="U27" s="143"/>
      <c r="V27" s="236"/>
      <c r="W27" s="24"/>
      <c r="X27" s="24"/>
      <c r="Y27" s="24"/>
      <c r="Z27" s="24"/>
    </row>
    <row r="28" spans="1:36" x14ac:dyDescent="0.35">
      <c r="A28" s="235"/>
      <c r="B28" s="13"/>
      <c r="C28" s="81"/>
      <c r="D28" s="11"/>
      <c r="E28" s="15"/>
      <c r="F28" s="82"/>
      <c r="G28" s="13"/>
      <c r="H28" s="145"/>
      <c r="I28" s="83"/>
      <c r="J28" s="84"/>
      <c r="K28" s="85"/>
      <c r="L28" s="74"/>
      <c r="M28" s="13"/>
      <c r="N28" s="13"/>
      <c r="O28" s="13"/>
      <c r="P28" s="13"/>
      <c r="Q28" s="13"/>
      <c r="R28" s="144"/>
      <c r="S28" s="144"/>
      <c r="T28" s="11"/>
      <c r="U28" s="143"/>
      <c r="V28" s="236"/>
      <c r="W28" s="24"/>
      <c r="X28" s="24"/>
      <c r="Y28" s="24"/>
      <c r="Z28" s="24"/>
    </row>
    <row r="29" spans="1:36" x14ac:dyDescent="0.35">
      <c r="A29" s="235"/>
      <c r="B29" s="13"/>
      <c r="C29" s="81"/>
      <c r="D29" s="11"/>
      <c r="E29" s="15"/>
      <c r="F29" s="82"/>
      <c r="G29" s="13"/>
      <c r="H29" s="145"/>
      <c r="I29" s="83"/>
      <c r="J29" s="84"/>
      <c r="K29" s="85"/>
      <c r="L29" s="74"/>
      <c r="M29" s="13"/>
      <c r="N29" s="13"/>
      <c r="O29" s="13"/>
      <c r="P29" s="13"/>
      <c r="Q29" s="13"/>
      <c r="R29" s="144"/>
      <c r="S29" s="144"/>
      <c r="T29" s="11"/>
      <c r="U29" s="143"/>
      <c r="V29" s="236"/>
    </row>
    <row r="30" spans="1:36" x14ac:dyDescent="0.35">
      <c r="A30" s="235"/>
      <c r="B30" s="13"/>
      <c r="C30" s="81"/>
      <c r="D30" s="11"/>
      <c r="E30" s="15"/>
      <c r="F30" s="82"/>
      <c r="G30" s="13"/>
      <c r="H30" s="145"/>
      <c r="I30" s="83"/>
      <c r="J30" s="84"/>
      <c r="K30" s="85"/>
      <c r="L30" s="74"/>
      <c r="M30" s="13"/>
      <c r="N30" s="13"/>
      <c r="O30" s="13"/>
      <c r="P30" s="13"/>
      <c r="Q30" s="13"/>
      <c r="R30" s="144"/>
      <c r="S30" s="144"/>
      <c r="T30" s="11"/>
      <c r="U30" s="143"/>
      <c r="V30" s="236"/>
    </row>
    <row r="31" spans="1:36" x14ac:dyDescent="0.35">
      <c r="A31" s="235"/>
      <c r="B31" s="13"/>
      <c r="C31" s="81"/>
      <c r="D31" s="11"/>
      <c r="E31" s="15"/>
      <c r="F31" s="82"/>
      <c r="G31" s="13"/>
      <c r="H31" s="145"/>
      <c r="I31" s="83"/>
      <c r="J31" s="84"/>
      <c r="K31" s="85"/>
      <c r="L31" s="74"/>
      <c r="M31" s="13"/>
      <c r="N31" s="13"/>
      <c r="O31" s="13"/>
      <c r="P31" s="13"/>
      <c r="Q31" s="13"/>
      <c r="R31" s="144"/>
      <c r="S31" s="144"/>
      <c r="T31" s="11"/>
      <c r="U31" s="143"/>
      <c r="V31" s="236"/>
    </row>
    <row r="32" spans="1:36" x14ac:dyDescent="0.35">
      <c r="A32" s="240"/>
      <c r="B32" s="241"/>
      <c r="C32" s="242"/>
      <c r="D32" s="243"/>
      <c r="E32" s="201"/>
      <c r="F32" s="244"/>
      <c r="G32" s="241"/>
      <c r="H32" s="245"/>
      <c r="I32" s="246"/>
      <c r="J32" s="247"/>
      <c r="K32" s="248"/>
      <c r="L32" s="249"/>
      <c r="M32" s="241"/>
      <c r="N32" s="241"/>
      <c r="O32" s="241"/>
      <c r="P32" s="241"/>
      <c r="Q32" s="241"/>
      <c r="R32" s="250"/>
      <c r="S32" s="250"/>
      <c r="T32" s="243"/>
      <c r="U32" s="251"/>
      <c r="V32" s="252"/>
    </row>
    <row r="33" spans="18:22" x14ac:dyDescent="0.35">
      <c r="R33" s="24"/>
      <c r="S33" s="24"/>
      <c r="T33" s="24"/>
      <c r="U33" s="24"/>
      <c r="V33" s="24"/>
    </row>
    <row r="34" spans="18:22" x14ac:dyDescent="0.35">
      <c r="R34" s="24"/>
      <c r="S34" s="24"/>
      <c r="T34" s="24"/>
      <c r="U34" s="24"/>
      <c r="V34" s="24"/>
    </row>
  </sheetData>
  <sheetProtection selectLockedCells="1"/>
  <dataConsolidate/>
  <mergeCells count="5">
    <mergeCell ref="A1:J1"/>
    <mergeCell ref="B5:M5"/>
    <mergeCell ref="A8:M8"/>
    <mergeCell ref="R8:V8"/>
    <mergeCell ref="N8:Q8"/>
  </mergeCells>
  <phoneticPr fontId="13" type="noConversion"/>
  <conditionalFormatting sqref="H33">
    <cfRule type="cellIs" dxfId="25" priority="2" stopIfTrue="1" operator="equal">
      <formula>"Valide N° Cta. / Tarj."</formula>
    </cfRule>
  </conditionalFormatting>
  <conditionalFormatting sqref="G2:G3">
    <cfRule type="expression" dxfId="24" priority="3" stopIfTrue="1">
      <formula>"""=SI(RESIDUO(FILA();2)=0;VERDADERO;FALSO)"""</formula>
    </cfRule>
  </conditionalFormatting>
  <pageMargins left="0.27559055118110237" right="0.23622047244094491" top="0.51181102362204722" bottom="0.59055118110236227" header="0.31496062992125984" footer="0.31496062992125984"/>
  <pageSetup scale="41" orientation="landscape" verticalDpi="1200" r:id="rId1"/>
  <headerFooter>
    <oddFooter>&amp;L&amp;"Trebuchet MS,Normal"&amp;7&amp;K00-024EN/CP-P-0036-11
B.O.D, BANCO UNIVERSAL C.A. RIF J-30061946-0</oddFooter>
  </headerFooter>
  <drawing r:id="rId2"/>
  <legacyDrawing r:id="rId3"/>
  <controls>
    <mc:AlternateContent xmlns:mc="http://schemas.openxmlformats.org/markup-compatibility/2006">
      <mc:Choice Requires="x14">
        <control shapeId="25603" r:id="rId4" name="CommandButton1">
          <controlPr defaultSize="0" print="0" autoFill="0" autoLine="0" r:id="rId5">
            <anchor moveWithCells="1" sizeWithCells="1">
              <from>
                <xdr:col>5</xdr:col>
                <xdr:colOff>0</xdr:colOff>
                <xdr:row>34</xdr:row>
                <xdr:rowOff>47625</xdr:rowOff>
              </from>
              <to>
                <xdr:col>5</xdr:col>
                <xdr:colOff>0</xdr:colOff>
                <xdr:row>36</xdr:row>
                <xdr:rowOff>28575</xdr:rowOff>
              </to>
            </anchor>
          </controlPr>
        </control>
      </mc:Choice>
      <mc:Fallback>
        <control shapeId="25603" r:id="rId4" name="CommandButton1"/>
      </mc:Fallback>
    </mc:AlternateContent>
  </controls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4"/>
  <dimension ref="A1:N31"/>
  <sheetViews>
    <sheetView workbookViewId="0">
      <selection activeCell="C22" sqref="C22"/>
    </sheetView>
  </sheetViews>
  <sheetFormatPr baseColWidth="10" defaultColWidth="9.140625" defaultRowHeight="15" x14ac:dyDescent="0.25"/>
  <cols>
    <col min="1" max="1" width="35" customWidth="1"/>
    <col min="2" max="2" width="2.42578125" customWidth="1"/>
    <col min="3" max="3" width="11.85546875" bestFit="1" customWidth="1"/>
    <col min="4" max="4" width="2.140625" customWidth="1"/>
    <col min="5" max="5" width="11.85546875" customWidth="1"/>
    <col min="6" max="6" width="2.42578125" customWidth="1"/>
    <col min="7" max="7" width="6.85546875" customWidth="1"/>
    <col min="8" max="8" width="2.5703125" customWidth="1"/>
    <col min="9" max="9" width="25.5703125" customWidth="1"/>
    <col min="10" max="10" width="2.7109375" customWidth="1"/>
    <col min="11" max="11" width="2.42578125" customWidth="1"/>
    <col min="12" max="12" width="24.140625" customWidth="1"/>
    <col min="13" max="13" width="2.28515625" customWidth="1"/>
    <col min="14" max="14" width="17.7109375" bestFit="1" customWidth="1"/>
    <col min="15" max="15" width="2.42578125" customWidth="1"/>
    <col min="16" max="256" width="11.42578125" customWidth="1"/>
  </cols>
  <sheetData>
    <row r="1" spans="1:14" x14ac:dyDescent="0.25">
      <c r="A1" s="139" t="s">
        <v>31</v>
      </c>
      <c r="C1" s="139" t="s">
        <v>22</v>
      </c>
      <c r="D1" s="229"/>
      <c r="E1" s="139" t="s">
        <v>310</v>
      </c>
      <c r="G1" s="139" t="s">
        <v>51</v>
      </c>
      <c r="I1" s="139" t="s">
        <v>54</v>
      </c>
      <c r="L1" s="139" t="s">
        <v>160</v>
      </c>
      <c r="N1" s="139" t="s">
        <v>277</v>
      </c>
    </row>
    <row r="3" spans="1:14" x14ac:dyDescent="0.25">
      <c r="A3" t="s">
        <v>32</v>
      </c>
      <c r="C3" t="s">
        <v>23</v>
      </c>
      <c r="E3" t="s">
        <v>23</v>
      </c>
      <c r="I3" t="s">
        <v>52</v>
      </c>
      <c r="L3" t="s">
        <v>227</v>
      </c>
      <c r="N3" t="s">
        <v>278</v>
      </c>
    </row>
    <row r="4" spans="1:14" x14ac:dyDescent="0.25">
      <c r="A4" t="s">
        <v>33</v>
      </c>
      <c r="C4" t="s">
        <v>24</v>
      </c>
      <c r="E4" t="s">
        <v>24</v>
      </c>
      <c r="I4" t="s">
        <v>53</v>
      </c>
      <c r="L4" t="s">
        <v>35</v>
      </c>
      <c r="N4" t="s">
        <v>279</v>
      </c>
    </row>
    <row r="5" spans="1:14" x14ac:dyDescent="0.25">
      <c r="A5" t="s">
        <v>34</v>
      </c>
      <c r="C5" t="s">
        <v>25</v>
      </c>
      <c r="E5" t="s">
        <v>25</v>
      </c>
      <c r="L5" t="s">
        <v>36</v>
      </c>
    </row>
    <row r="6" spans="1:14" x14ac:dyDescent="0.25">
      <c r="A6" t="s">
        <v>227</v>
      </c>
      <c r="C6" t="s">
        <v>26</v>
      </c>
      <c r="E6" t="s">
        <v>26</v>
      </c>
    </row>
    <row r="7" spans="1:14" x14ac:dyDescent="0.25">
      <c r="A7" t="s">
        <v>35</v>
      </c>
      <c r="C7" t="s">
        <v>27</v>
      </c>
      <c r="E7" t="s">
        <v>27</v>
      </c>
    </row>
    <row r="8" spans="1:14" x14ac:dyDescent="0.25">
      <c r="A8" t="s">
        <v>36</v>
      </c>
      <c r="C8" t="s">
        <v>309</v>
      </c>
      <c r="E8" t="s">
        <v>28</v>
      </c>
    </row>
    <row r="9" spans="1:14" x14ac:dyDescent="0.25">
      <c r="C9" t="s">
        <v>28</v>
      </c>
    </row>
    <row r="15" spans="1:14" x14ac:dyDescent="0.25">
      <c r="A15" s="448" t="s">
        <v>40</v>
      </c>
      <c r="B15" s="448"/>
      <c r="C15" s="448"/>
    </row>
    <row r="16" spans="1:14" x14ac:dyDescent="0.25">
      <c r="A16" s="256" t="s">
        <v>317</v>
      </c>
      <c r="B16" s="256"/>
      <c r="C16" s="256">
        <f ca="1">CELL("fila",'Ordenes de Pago'!B13)</f>
        <v>13</v>
      </c>
    </row>
    <row r="17" spans="1:5" x14ac:dyDescent="0.25">
      <c r="A17" s="256" t="s">
        <v>41</v>
      </c>
      <c r="B17" s="256"/>
      <c r="C17" s="256">
        <f ca="1">CELL("fila",'Ordenes de Pago'!A37)</f>
        <v>37</v>
      </c>
    </row>
    <row r="19" spans="1:5" x14ac:dyDescent="0.25">
      <c r="A19" s="255" t="s">
        <v>318</v>
      </c>
      <c r="B19" s="255"/>
      <c r="C19" s="255">
        <f ca="1">CELL("fila",'Beneficiarios de Pago'!A12)</f>
        <v>12</v>
      </c>
    </row>
    <row r="20" spans="1:5" x14ac:dyDescent="0.25">
      <c r="A20" s="255" t="s">
        <v>41</v>
      </c>
      <c r="B20" s="255"/>
      <c r="C20" s="255">
        <f ca="1">CELL("fila",'Beneficiarios de Pago'!A37)</f>
        <v>37</v>
      </c>
    </row>
    <row r="22" spans="1:5" x14ac:dyDescent="0.25">
      <c r="A22" t="s">
        <v>286</v>
      </c>
      <c r="C22" s="141">
        <v>2</v>
      </c>
      <c r="D22" s="141"/>
      <c r="E22" s="141"/>
    </row>
    <row r="24" spans="1:5" x14ac:dyDescent="0.25">
      <c r="A24" t="s">
        <v>313</v>
      </c>
      <c r="C24" s="234">
        <v>3</v>
      </c>
    </row>
    <row r="26" spans="1:5" x14ac:dyDescent="0.25">
      <c r="A26" s="255" t="s">
        <v>320</v>
      </c>
      <c r="B26" s="255"/>
      <c r="C26" s="255">
        <f ca="1">CELL("fila",'Ordenes de Pago'!B41:C41)</f>
        <v>41</v>
      </c>
    </row>
    <row r="29" spans="1:5" x14ac:dyDescent="0.25">
      <c r="A29" s="23" t="s">
        <v>55</v>
      </c>
    </row>
    <row r="30" spans="1:5" x14ac:dyDescent="0.25">
      <c r="A30" s="23" t="s">
        <v>56</v>
      </c>
    </row>
    <row r="31" spans="1:5" x14ac:dyDescent="0.25">
      <c r="A31" s="23" t="s">
        <v>57</v>
      </c>
    </row>
  </sheetData>
  <sheetProtection password="DF59" sheet="1" formatRows="0" selectLockedCells="1"/>
  <mergeCells count="1">
    <mergeCell ref="A15:C15"/>
  </mergeCells>
  <phoneticPr fontId="13" type="noConversion"/>
  <hyperlinks>
    <hyperlink ref="A30" r:id="rId1" xr:uid="{00000000-0004-0000-0F00-000000000000}"/>
    <hyperlink ref="A31" r:id="rId2" xr:uid="{00000000-0004-0000-0F00-000001000000}"/>
    <hyperlink ref="A29" r:id="rId3" xr:uid="{00000000-0004-0000-0F00-000002000000}"/>
  </hyperlinks>
  <pageMargins left="0.7" right="0.7" top="0.75" bottom="0.75" header="0.3" footer="0.3"/>
  <pageSetup orientation="portrait" verticalDpi="1200" r:id="rId4"/>
  <legacyDrawing r:id="rId5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7"/>
  <dimension ref="A5:L117"/>
  <sheetViews>
    <sheetView showGridLines="0" workbookViewId="0">
      <selection activeCell="A9" sqref="A9"/>
    </sheetView>
  </sheetViews>
  <sheetFormatPr baseColWidth="10" defaultColWidth="11.42578125" defaultRowHeight="12.75" x14ac:dyDescent="0.2"/>
  <cols>
    <col min="1" max="1" width="8.5703125" style="25" customWidth="1"/>
    <col min="2" max="2" width="20.42578125" style="25" customWidth="1"/>
    <col min="3" max="3" width="9.5703125" style="25" customWidth="1"/>
    <col min="4" max="4" width="8.7109375" style="25" customWidth="1"/>
    <col min="5" max="5" width="17.85546875" style="25" customWidth="1"/>
    <col min="6" max="6" width="10.140625" style="25" customWidth="1"/>
    <col min="7" max="7" width="31.28515625" style="25" customWidth="1"/>
    <col min="8" max="8" width="20.140625" style="25" customWidth="1"/>
    <col min="9" max="9" width="4" style="25" customWidth="1"/>
    <col min="10" max="10" width="1.7109375" style="25" customWidth="1"/>
    <col min="11" max="16384" width="11.42578125" style="25"/>
  </cols>
  <sheetData>
    <row r="5" spans="1:12" x14ac:dyDescent="0.2">
      <c r="D5" s="26"/>
    </row>
    <row r="7" spans="1:12" ht="20.25" x14ac:dyDescent="0.35">
      <c r="A7" s="460" t="s">
        <v>159</v>
      </c>
      <c r="B7" s="460"/>
      <c r="C7" s="460"/>
      <c r="D7" s="460"/>
      <c r="E7" s="460"/>
      <c r="F7" s="460"/>
      <c r="G7" s="460"/>
      <c r="H7" s="460"/>
      <c r="I7" s="460"/>
    </row>
    <row r="8" spans="1:12" ht="15" x14ac:dyDescent="0.3">
      <c r="A8" s="452" t="s">
        <v>239</v>
      </c>
      <c r="B8" s="452"/>
      <c r="C8" s="452"/>
      <c r="D8" s="452"/>
      <c r="E8" s="452"/>
      <c r="F8" s="452"/>
      <c r="G8" s="452"/>
      <c r="H8" s="452"/>
      <c r="I8" s="452"/>
    </row>
    <row r="10" spans="1:12" ht="8.25" customHeight="1" thickBot="1" x14ac:dyDescent="0.25">
      <c r="A10" s="27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</row>
    <row r="11" spans="1:12" ht="15.75" thickBot="1" x14ac:dyDescent="0.25">
      <c r="A11" s="454" t="s">
        <v>65</v>
      </c>
      <c r="B11" s="455"/>
      <c r="C11" s="455"/>
      <c r="D11" s="455"/>
      <c r="E11" s="455"/>
      <c r="F11" s="455"/>
      <c r="G11" s="455"/>
      <c r="H11" s="455"/>
      <c r="I11" s="456"/>
    </row>
    <row r="12" spans="1:12" ht="15.75" thickBot="1" x14ac:dyDescent="0.35">
      <c r="A12" s="64"/>
      <c r="B12" s="64" t="s">
        <v>58</v>
      </c>
      <c r="C12" s="64" t="s">
        <v>59</v>
      </c>
      <c r="D12" s="64" t="s">
        <v>60</v>
      </c>
      <c r="E12" s="64" t="s">
        <v>61</v>
      </c>
      <c r="F12" s="64" t="s">
        <v>62</v>
      </c>
      <c r="G12" s="64" t="s">
        <v>63</v>
      </c>
      <c r="H12" s="64" t="s">
        <v>64</v>
      </c>
      <c r="I12" s="65"/>
      <c r="J12" s="31"/>
      <c r="K12" s="31"/>
    </row>
    <row r="13" spans="1:12" ht="15.75" thickBot="1" x14ac:dyDescent="0.35">
      <c r="A13" s="61">
        <v>1</v>
      </c>
      <c r="B13" s="62" t="s">
        <v>66</v>
      </c>
      <c r="C13" s="61">
        <v>2</v>
      </c>
      <c r="D13" s="61" t="s">
        <v>67</v>
      </c>
      <c r="E13" s="61" t="s">
        <v>68</v>
      </c>
      <c r="F13" s="61" t="s">
        <v>69</v>
      </c>
      <c r="G13" s="62" t="s">
        <v>70</v>
      </c>
      <c r="H13" s="63" t="s">
        <v>71</v>
      </c>
      <c r="I13" s="39"/>
      <c r="J13" s="35"/>
      <c r="K13" s="35"/>
    </row>
    <row r="14" spans="1:12" ht="15.75" thickBot="1" x14ac:dyDescent="0.35">
      <c r="A14" s="36">
        <f>A13+1</f>
        <v>2</v>
      </c>
      <c r="B14" s="37" t="s">
        <v>72</v>
      </c>
      <c r="C14" s="36">
        <v>20</v>
      </c>
      <c r="D14" s="36" t="s">
        <v>73</v>
      </c>
      <c r="E14" s="36" t="s">
        <v>68</v>
      </c>
      <c r="F14" s="36" t="s">
        <v>69</v>
      </c>
      <c r="G14" s="37" t="s">
        <v>74</v>
      </c>
      <c r="H14" s="36" t="s">
        <v>75</v>
      </c>
      <c r="I14" s="40"/>
      <c r="J14" s="35"/>
      <c r="K14" s="35"/>
    </row>
    <row r="15" spans="1:12" ht="41.25" thickBot="1" x14ac:dyDescent="0.25">
      <c r="A15" s="36">
        <f t="shared" ref="A15:A22" si="0">A14+1</f>
        <v>3</v>
      </c>
      <c r="B15" s="37" t="s">
        <v>76</v>
      </c>
      <c r="C15" s="36">
        <v>1</v>
      </c>
      <c r="D15" s="36" t="s">
        <v>73</v>
      </c>
      <c r="E15" s="36" t="s">
        <v>68</v>
      </c>
      <c r="F15" s="36" t="s">
        <v>69</v>
      </c>
      <c r="G15" s="37" t="s">
        <v>77</v>
      </c>
      <c r="H15" s="463" t="s">
        <v>78</v>
      </c>
      <c r="I15" s="40"/>
      <c r="J15" s="41"/>
      <c r="K15" s="41"/>
    </row>
    <row r="16" spans="1:12" s="29" customFormat="1" ht="27.75" thickBot="1" x14ac:dyDescent="0.35">
      <c r="A16" s="36">
        <f t="shared" si="0"/>
        <v>4</v>
      </c>
      <c r="B16" s="37" t="s">
        <v>79</v>
      </c>
      <c r="C16" s="36">
        <v>9</v>
      </c>
      <c r="D16" s="36" t="s">
        <v>67</v>
      </c>
      <c r="E16" s="36" t="s">
        <v>68</v>
      </c>
      <c r="F16" s="36" t="s">
        <v>69</v>
      </c>
      <c r="G16" s="37" t="s">
        <v>80</v>
      </c>
      <c r="H16" s="464"/>
      <c r="I16" s="40"/>
      <c r="J16" s="35"/>
      <c r="K16" s="35"/>
    </row>
    <row r="17" spans="1:11" ht="15.75" thickBot="1" x14ac:dyDescent="0.35">
      <c r="A17" s="36">
        <f t="shared" si="0"/>
        <v>5</v>
      </c>
      <c r="B17" s="37" t="s">
        <v>81</v>
      </c>
      <c r="C17" s="36">
        <v>17</v>
      </c>
      <c r="D17" s="36" t="s">
        <v>67</v>
      </c>
      <c r="E17" s="36" t="s">
        <v>68</v>
      </c>
      <c r="F17" s="36" t="s">
        <v>69</v>
      </c>
      <c r="G17" s="37" t="s">
        <v>82</v>
      </c>
      <c r="H17" s="42" t="s">
        <v>83</v>
      </c>
      <c r="I17" s="39"/>
      <c r="J17" s="35"/>
      <c r="K17" s="35"/>
    </row>
    <row r="18" spans="1:11" ht="27.75" thickBot="1" x14ac:dyDescent="0.35">
      <c r="A18" s="36">
        <f t="shared" si="0"/>
        <v>6</v>
      </c>
      <c r="B18" s="43" t="s">
        <v>84</v>
      </c>
      <c r="C18" s="44">
        <v>9</v>
      </c>
      <c r="D18" s="44" t="s">
        <v>67</v>
      </c>
      <c r="E18" s="44" t="s">
        <v>68</v>
      </c>
      <c r="F18" s="44" t="s">
        <v>69</v>
      </c>
      <c r="G18" s="43" t="s">
        <v>85</v>
      </c>
      <c r="H18" s="44">
        <v>123456789</v>
      </c>
      <c r="I18" s="39"/>
      <c r="J18" s="35"/>
      <c r="K18" s="35"/>
    </row>
    <row r="19" spans="1:11" ht="27.75" thickBot="1" x14ac:dyDescent="0.35">
      <c r="A19" s="36">
        <f t="shared" si="0"/>
        <v>7</v>
      </c>
      <c r="B19" s="37" t="s">
        <v>86</v>
      </c>
      <c r="C19" s="36">
        <v>8</v>
      </c>
      <c r="D19" s="36" t="s">
        <v>67</v>
      </c>
      <c r="E19" s="36" t="s">
        <v>68</v>
      </c>
      <c r="F19" s="36" t="s">
        <v>69</v>
      </c>
      <c r="G19" s="37" t="s">
        <v>87</v>
      </c>
      <c r="H19" s="45" t="s">
        <v>88</v>
      </c>
      <c r="I19" s="40"/>
      <c r="J19" s="35"/>
      <c r="K19" s="35"/>
    </row>
    <row r="20" spans="1:11" ht="27.75" thickBot="1" x14ac:dyDescent="0.35">
      <c r="A20" s="36">
        <f t="shared" si="0"/>
        <v>8</v>
      </c>
      <c r="B20" s="37" t="s">
        <v>89</v>
      </c>
      <c r="C20" s="36">
        <v>6</v>
      </c>
      <c r="D20" s="36" t="s">
        <v>67</v>
      </c>
      <c r="E20" s="36" t="s">
        <v>68</v>
      </c>
      <c r="F20" s="36" t="s">
        <v>69</v>
      </c>
      <c r="G20" s="37" t="s">
        <v>90</v>
      </c>
      <c r="H20" s="46" t="s">
        <v>91</v>
      </c>
      <c r="I20" s="39"/>
      <c r="J20" s="35"/>
      <c r="K20" s="35"/>
    </row>
    <row r="21" spans="1:11" ht="15.75" thickBot="1" x14ac:dyDescent="0.35">
      <c r="A21" s="36">
        <f t="shared" si="0"/>
        <v>9</v>
      </c>
      <c r="B21" s="37" t="s">
        <v>92</v>
      </c>
      <c r="C21" s="36">
        <v>17</v>
      </c>
      <c r="D21" s="36" t="s">
        <v>67</v>
      </c>
      <c r="E21" s="36">
        <v>2</v>
      </c>
      <c r="F21" s="36" t="s">
        <v>69</v>
      </c>
      <c r="G21" s="37" t="s">
        <v>93</v>
      </c>
      <c r="H21" s="46" t="s">
        <v>94</v>
      </c>
      <c r="I21" s="39"/>
      <c r="J21" s="35"/>
      <c r="K21" s="35"/>
    </row>
    <row r="22" spans="1:11" ht="15.75" thickBot="1" x14ac:dyDescent="0.35">
      <c r="A22" s="36">
        <f t="shared" si="0"/>
        <v>10</v>
      </c>
      <c r="B22" s="37" t="s">
        <v>95</v>
      </c>
      <c r="C22" s="36">
        <v>3</v>
      </c>
      <c r="D22" s="36" t="s">
        <v>67</v>
      </c>
      <c r="E22" s="36" t="s">
        <v>68</v>
      </c>
      <c r="F22" s="36" t="s">
        <v>69</v>
      </c>
      <c r="G22" s="37" t="s">
        <v>96</v>
      </c>
      <c r="H22" s="47" t="s">
        <v>21</v>
      </c>
      <c r="I22" s="40"/>
      <c r="J22" s="35"/>
      <c r="K22" s="35"/>
    </row>
    <row r="23" spans="1:11" ht="15.75" thickBot="1" x14ac:dyDescent="0.35">
      <c r="A23" s="66"/>
      <c r="B23" s="67" t="s">
        <v>97</v>
      </c>
      <c r="C23" s="66">
        <f>250-(SUM(C13:C22))</f>
        <v>158</v>
      </c>
      <c r="D23" s="66" t="s">
        <v>98</v>
      </c>
      <c r="E23" s="66" t="s">
        <v>98</v>
      </c>
      <c r="F23" s="66" t="s">
        <v>69</v>
      </c>
      <c r="G23" s="67" t="s">
        <v>99</v>
      </c>
      <c r="H23" s="68"/>
      <c r="I23" s="39"/>
      <c r="J23" s="35"/>
      <c r="K23" s="35"/>
    </row>
    <row r="24" spans="1:11" ht="15.75" thickBot="1" x14ac:dyDescent="0.35">
      <c r="A24" s="457" t="s">
        <v>100</v>
      </c>
      <c r="B24" s="458"/>
      <c r="C24" s="458"/>
      <c r="D24" s="458"/>
      <c r="E24" s="458"/>
      <c r="F24" s="458"/>
      <c r="G24" s="458"/>
      <c r="H24" s="458"/>
      <c r="I24" s="459"/>
      <c r="J24" s="35"/>
      <c r="K24" s="35"/>
    </row>
    <row r="25" spans="1:11" ht="41.25" thickBot="1" x14ac:dyDescent="0.35">
      <c r="A25" s="61">
        <v>1</v>
      </c>
      <c r="B25" s="62" t="s">
        <v>101</v>
      </c>
      <c r="C25" s="61">
        <v>2</v>
      </c>
      <c r="D25" s="61" t="s">
        <v>73</v>
      </c>
      <c r="E25" s="61" t="s">
        <v>68</v>
      </c>
      <c r="F25" s="61" t="s">
        <v>69</v>
      </c>
      <c r="G25" s="62" t="s">
        <v>102</v>
      </c>
      <c r="H25" s="63" t="s">
        <v>103</v>
      </c>
      <c r="I25" s="39"/>
      <c r="J25" s="35"/>
      <c r="K25" s="35"/>
    </row>
    <row r="26" spans="1:11" ht="41.25" thickBot="1" x14ac:dyDescent="0.35">
      <c r="A26" s="36">
        <f t="shared" ref="A26:A39" si="1">A25+1</f>
        <v>2</v>
      </c>
      <c r="B26" s="37" t="s">
        <v>104</v>
      </c>
      <c r="C26" s="36">
        <v>1</v>
      </c>
      <c r="D26" s="36" t="s">
        <v>73</v>
      </c>
      <c r="E26" s="36" t="s">
        <v>68</v>
      </c>
      <c r="F26" s="36" t="s">
        <v>69</v>
      </c>
      <c r="G26" s="37" t="s">
        <v>77</v>
      </c>
      <c r="H26" s="463" t="s">
        <v>78</v>
      </c>
      <c r="I26" s="49"/>
      <c r="J26" s="35"/>
      <c r="K26" s="35"/>
    </row>
    <row r="27" spans="1:11" ht="27.75" thickBot="1" x14ac:dyDescent="0.35">
      <c r="A27" s="36"/>
      <c r="B27" s="37" t="s">
        <v>105</v>
      </c>
      <c r="C27" s="36">
        <v>9</v>
      </c>
      <c r="D27" s="36" t="s">
        <v>67</v>
      </c>
      <c r="E27" s="36" t="s">
        <v>68</v>
      </c>
      <c r="F27" s="36" t="s">
        <v>69</v>
      </c>
      <c r="G27" s="37" t="s">
        <v>80</v>
      </c>
      <c r="H27" s="464"/>
      <c r="I27" s="49"/>
      <c r="J27" s="31"/>
      <c r="K27" s="31"/>
    </row>
    <row r="28" spans="1:11" ht="54.75" thickBot="1" x14ac:dyDescent="0.35">
      <c r="A28" s="36">
        <f>A26+1</f>
        <v>3</v>
      </c>
      <c r="B28" s="43" t="s">
        <v>106</v>
      </c>
      <c r="C28" s="44">
        <v>60</v>
      </c>
      <c r="D28" s="44" t="s">
        <v>73</v>
      </c>
      <c r="E28" s="44" t="s">
        <v>68</v>
      </c>
      <c r="F28" s="44" t="s">
        <v>69</v>
      </c>
      <c r="G28" s="43" t="s">
        <v>107</v>
      </c>
      <c r="H28" s="44" t="s">
        <v>108</v>
      </c>
      <c r="I28" s="39"/>
      <c r="J28" s="50"/>
      <c r="K28" s="50"/>
    </row>
    <row r="29" spans="1:11" ht="27.75" thickBot="1" x14ac:dyDescent="0.35">
      <c r="A29" s="36">
        <f t="shared" si="1"/>
        <v>4</v>
      </c>
      <c r="B29" s="43" t="s">
        <v>109</v>
      </c>
      <c r="C29" s="44">
        <v>9</v>
      </c>
      <c r="D29" s="44" t="s">
        <v>67</v>
      </c>
      <c r="E29" s="44" t="s">
        <v>68</v>
      </c>
      <c r="F29" s="44" t="s">
        <v>69</v>
      </c>
      <c r="G29" s="43" t="s">
        <v>110</v>
      </c>
      <c r="H29" s="44">
        <v>123456789</v>
      </c>
      <c r="I29" s="40"/>
      <c r="J29" s="31"/>
      <c r="K29" s="31"/>
    </row>
    <row r="30" spans="1:11" ht="15.75" thickBot="1" x14ac:dyDescent="0.35">
      <c r="A30" s="36">
        <f t="shared" si="1"/>
        <v>5</v>
      </c>
      <c r="B30" s="43" t="s">
        <v>111</v>
      </c>
      <c r="C30" s="44">
        <v>30</v>
      </c>
      <c r="D30" s="44" t="s">
        <v>73</v>
      </c>
      <c r="E30" s="44" t="s">
        <v>68</v>
      </c>
      <c r="F30" s="44" t="s">
        <v>69</v>
      </c>
      <c r="G30" s="43" t="s">
        <v>54</v>
      </c>
      <c r="H30" s="44" t="s">
        <v>112</v>
      </c>
      <c r="I30" s="40"/>
      <c r="J30" s="31"/>
      <c r="K30" s="31"/>
    </row>
    <row r="31" spans="1:11" ht="95.25" thickBot="1" x14ac:dyDescent="0.35">
      <c r="A31" s="36">
        <f t="shared" si="1"/>
        <v>6</v>
      </c>
      <c r="B31" s="43" t="s">
        <v>113</v>
      </c>
      <c r="C31" s="44">
        <v>3</v>
      </c>
      <c r="D31" s="44" t="s">
        <v>73</v>
      </c>
      <c r="E31" s="44" t="s">
        <v>68</v>
      </c>
      <c r="F31" s="44" t="s">
        <v>69</v>
      </c>
      <c r="G31" s="43" t="s">
        <v>114</v>
      </c>
      <c r="H31" s="44" t="s">
        <v>23</v>
      </c>
      <c r="I31" s="39"/>
      <c r="J31" s="31"/>
      <c r="K31" s="31"/>
    </row>
    <row r="32" spans="1:11" ht="68.25" thickBot="1" x14ac:dyDescent="0.35">
      <c r="A32" s="36">
        <f t="shared" si="1"/>
        <v>7</v>
      </c>
      <c r="B32" s="43" t="s">
        <v>115</v>
      </c>
      <c r="C32" s="44">
        <v>20</v>
      </c>
      <c r="D32" s="44" t="s">
        <v>67</v>
      </c>
      <c r="E32" s="44" t="s">
        <v>68</v>
      </c>
      <c r="F32" s="44" t="s">
        <v>69</v>
      </c>
      <c r="G32" s="43" t="s">
        <v>116</v>
      </c>
      <c r="H32" s="43" t="s">
        <v>117</v>
      </c>
      <c r="I32" s="39"/>
      <c r="J32" s="31"/>
      <c r="K32" s="31"/>
    </row>
    <row r="33" spans="1:11" ht="15.75" thickBot="1" x14ac:dyDescent="0.35">
      <c r="A33" s="36">
        <f t="shared" si="1"/>
        <v>8</v>
      </c>
      <c r="B33" s="43" t="s">
        <v>118</v>
      </c>
      <c r="C33" s="44">
        <v>4</v>
      </c>
      <c r="D33" s="44" t="s">
        <v>67</v>
      </c>
      <c r="E33" s="44" t="s">
        <v>68</v>
      </c>
      <c r="F33" s="44" t="s">
        <v>69</v>
      </c>
      <c r="G33" s="43" t="s">
        <v>119</v>
      </c>
      <c r="H33" s="51" t="s">
        <v>120</v>
      </c>
      <c r="I33" s="39"/>
      <c r="J33" s="31"/>
      <c r="K33" s="31"/>
    </row>
    <row r="34" spans="1:11" ht="27.75" thickBot="1" x14ac:dyDescent="0.35">
      <c r="A34" s="36">
        <f t="shared" si="1"/>
        <v>9</v>
      </c>
      <c r="B34" s="43" t="s">
        <v>121</v>
      </c>
      <c r="C34" s="36">
        <v>8</v>
      </c>
      <c r="D34" s="36" t="s">
        <v>67</v>
      </c>
      <c r="E34" s="36" t="s">
        <v>68</v>
      </c>
      <c r="F34" s="36" t="s">
        <v>69</v>
      </c>
      <c r="G34" s="37" t="s">
        <v>122</v>
      </c>
      <c r="H34" s="45" t="s">
        <v>88</v>
      </c>
      <c r="I34" s="49"/>
      <c r="J34" s="31"/>
      <c r="K34" s="31"/>
    </row>
    <row r="35" spans="1:11" ht="15.75" thickBot="1" x14ac:dyDescent="0.25">
      <c r="A35" s="36">
        <f t="shared" si="1"/>
        <v>10</v>
      </c>
      <c r="B35" s="37" t="s">
        <v>123</v>
      </c>
      <c r="C35" s="36">
        <v>15</v>
      </c>
      <c r="D35" s="36" t="s">
        <v>67</v>
      </c>
      <c r="E35" s="36">
        <v>2</v>
      </c>
      <c r="F35" s="36" t="s">
        <v>69</v>
      </c>
      <c r="G35" s="37" t="s">
        <v>124</v>
      </c>
      <c r="H35" s="36">
        <v>1400075</v>
      </c>
      <c r="I35" s="39"/>
      <c r="J35" s="41"/>
      <c r="K35" s="41"/>
    </row>
    <row r="36" spans="1:11" s="29" customFormat="1" ht="15.75" thickBot="1" x14ac:dyDescent="0.35">
      <c r="A36" s="36">
        <f t="shared" si="1"/>
        <v>11</v>
      </c>
      <c r="B36" s="37" t="s">
        <v>95</v>
      </c>
      <c r="C36" s="36">
        <v>3</v>
      </c>
      <c r="D36" s="36" t="s">
        <v>67</v>
      </c>
      <c r="E36" s="36" t="s">
        <v>68</v>
      </c>
      <c r="F36" s="36" t="s">
        <v>69</v>
      </c>
      <c r="G36" s="37" t="s">
        <v>96</v>
      </c>
      <c r="H36" s="47" t="s">
        <v>21</v>
      </c>
      <c r="I36" s="40"/>
      <c r="J36" s="35"/>
      <c r="K36" s="35"/>
    </row>
    <row r="37" spans="1:11" ht="27.75" thickBot="1" x14ac:dyDescent="0.35">
      <c r="A37" s="36">
        <f t="shared" si="1"/>
        <v>12</v>
      </c>
      <c r="B37" s="37" t="s">
        <v>125</v>
      </c>
      <c r="C37" s="36">
        <v>15</v>
      </c>
      <c r="D37" s="36" t="s">
        <v>67</v>
      </c>
      <c r="E37" s="36">
        <v>2</v>
      </c>
      <c r="F37" s="36" t="s">
        <v>126</v>
      </c>
      <c r="G37" s="37" t="s">
        <v>127</v>
      </c>
      <c r="H37" s="46" t="s">
        <v>128</v>
      </c>
      <c r="I37" s="40"/>
      <c r="J37" s="35"/>
      <c r="K37" s="35"/>
    </row>
    <row r="38" spans="1:11" ht="15.75" thickBot="1" x14ac:dyDescent="0.35">
      <c r="A38" s="36">
        <f t="shared" si="1"/>
        <v>13</v>
      </c>
      <c r="B38" s="43" t="s">
        <v>129</v>
      </c>
      <c r="C38" s="44">
        <v>40</v>
      </c>
      <c r="D38" s="44" t="s">
        <v>73</v>
      </c>
      <c r="E38" s="44" t="s">
        <v>68</v>
      </c>
      <c r="F38" s="44" t="s">
        <v>126</v>
      </c>
      <c r="G38" s="43" t="s">
        <v>130</v>
      </c>
      <c r="H38" s="52" t="s">
        <v>131</v>
      </c>
      <c r="I38" s="40"/>
      <c r="J38" s="35"/>
      <c r="K38" s="35"/>
    </row>
    <row r="39" spans="1:11" ht="15.75" thickBot="1" x14ac:dyDescent="0.35">
      <c r="A39" s="36">
        <f t="shared" si="1"/>
        <v>14</v>
      </c>
      <c r="B39" s="37" t="s">
        <v>132</v>
      </c>
      <c r="C39" s="36">
        <v>11</v>
      </c>
      <c r="D39" s="36" t="s">
        <v>67</v>
      </c>
      <c r="E39" s="36" t="s">
        <v>68</v>
      </c>
      <c r="F39" s="36" t="s">
        <v>126</v>
      </c>
      <c r="G39" s="37" t="s">
        <v>133</v>
      </c>
      <c r="H39" s="42" t="s">
        <v>134</v>
      </c>
      <c r="I39" s="40"/>
      <c r="J39" s="35"/>
      <c r="K39" s="35"/>
    </row>
    <row r="40" spans="1:11" ht="15.75" thickBot="1" x14ac:dyDescent="0.35">
      <c r="A40" s="36"/>
      <c r="B40" s="37" t="s">
        <v>97</v>
      </c>
      <c r="C40" s="36">
        <f>250-(SUM(C25:C39))</f>
        <v>20</v>
      </c>
      <c r="D40" s="36" t="s">
        <v>98</v>
      </c>
      <c r="E40" s="36" t="s">
        <v>98</v>
      </c>
      <c r="F40" s="36" t="s">
        <v>69</v>
      </c>
      <c r="G40" s="37" t="s">
        <v>99</v>
      </c>
      <c r="H40" s="48"/>
      <c r="I40" s="39"/>
      <c r="J40" s="35"/>
      <c r="K40" s="35"/>
    </row>
    <row r="41" spans="1:11" ht="15.75" thickBot="1" x14ac:dyDescent="0.35">
      <c r="A41" s="32" t="s">
        <v>135</v>
      </c>
      <c r="B41" s="33"/>
      <c r="C41" s="33"/>
      <c r="D41" s="33"/>
      <c r="E41" s="33"/>
      <c r="F41" s="33"/>
      <c r="G41" s="33"/>
      <c r="H41" s="33"/>
      <c r="I41" s="34"/>
      <c r="J41" s="35"/>
      <c r="K41" s="35"/>
    </row>
    <row r="42" spans="1:11" ht="41.25" thickBot="1" x14ac:dyDescent="0.35">
      <c r="A42" s="36">
        <v>1</v>
      </c>
      <c r="B42" s="37" t="s">
        <v>136</v>
      </c>
      <c r="C42" s="36">
        <v>2</v>
      </c>
      <c r="D42" s="36" t="s">
        <v>73</v>
      </c>
      <c r="E42" s="36" t="s">
        <v>68</v>
      </c>
      <c r="F42" s="36" t="s">
        <v>69</v>
      </c>
      <c r="G42" s="37" t="s">
        <v>137</v>
      </c>
      <c r="H42" s="38" t="s">
        <v>138</v>
      </c>
      <c r="I42" s="39"/>
      <c r="J42" s="35"/>
      <c r="K42" s="35"/>
    </row>
    <row r="43" spans="1:11" ht="27.75" thickBot="1" x14ac:dyDescent="0.35">
      <c r="A43" s="44">
        <f>A42+1</f>
        <v>2</v>
      </c>
      <c r="B43" s="43" t="s">
        <v>139</v>
      </c>
      <c r="C43" s="44">
        <v>20</v>
      </c>
      <c r="D43" s="44" t="s">
        <v>73</v>
      </c>
      <c r="E43" s="44" t="s">
        <v>68</v>
      </c>
      <c r="F43" s="44" t="s">
        <v>69</v>
      </c>
      <c r="G43" s="43" t="s">
        <v>140</v>
      </c>
      <c r="H43" s="44" t="s">
        <v>141</v>
      </c>
      <c r="I43" s="39"/>
      <c r="J43" s="35"/>
      <c r="K43" s="35"/>
    </row>
    <row r="44" spans="1:11" ht="15.75" thickBot="1" x14ac:dyDescent="0.35">
      <c r="A44" s="44">
        <f>A43+1</f>
        <v>3</v>
      </c>
      <c r="B44" s="43" t="s">
        <v>142</v>
      </c>
      <c r="C44" s="44">
        <v>15</v>
      </c>
      <c r="D44" s="44" t="s">
        <v>73</v>
      </c>
      <c r="E44" s="44">
        <v>2</v>
      </c>
      <c r="F44" s="44" t="s">
        <v>69</v>
      </c>
      <c r="G44" s="43" t="s">
        <v>143</v>
      </c>
      <c r="H44" s="36">
        <v>1400075</v>
      </c>
      <c r="I44" s="39"/>
      <c r="J44" s="35"/>
      <c r="K44" s="35"/>
    </row>
    <row r="45" spans="1:11" ht="15.75" thickBot="1" x14ac:dyDescent="0.35">
      <c r="A45" s="44">
        <f>A44+1</f>
        <v>4</v>
      </c>
      <c r="B45" s="43" t="s">
        <v>95</v>
      </c>
      <c r="C45" s="36">
        <v>3</v>
      </c>
      <c r="D45" s="36" t="s">
        <v>67</v>
      </c>
      <c r="E45" s="36" t="s">
        <v>68</v>
      </c>
      <c r="F45" s="36" t="s">
        <v>69</v>
      </c>
      <c r="G45" s="37" t="s">
        <v>96</v>
      </c>
      <c r="H45" s="47" t="s">
        <v>21</v>
      </c>
      <c r="I45" s="39"/>
      <c r="J45" s="35"/>
      <c r="K45" s="35"/>
    </row>
    <row r="46" spans="1:11" ht="27.75" thickBot="1" x14ac:dyDescent="0.35">
      <c r="A46" s="44">
        <f>A45+1</f>
        <v>5</v>
      </c>
      <c r="B46" s="43" t="s">
        <v>144</v>
      </c>
      <c r="C46" s="44">
        <v>8</v>
      </c>
      <c r="D46" s="44" t="s">
        <v>67</v>
      </c>
      <c r="E46" s="44" t="s">
        <v>68</v>
      </c>
      <c r="F46" s="44" t="s">
        <v>69</v>
      </c>
      <c r="G46" s="43" t="s">
        <v>145</v>
      </c>
      <c r="H46" s="45" t="s">
        <v>146</v>
      </c>
      <c r="I46" s="39"/>
      <c r="J46" s="35"/>
      <c r="K46" s="35"/>
    </row>
    <row r="47" spans="1:11" ht="15.75" thickBot="1" x14ac:dyDescent="0.35">
      <c r="A47" s="44">
        <f>A46+1</f>
        <v>6</v>
      </c>
      <c r="B47" s="37" t="s">
        <v>125</v>
      </c>
      <c r="C47" s="36">
        <v>15</v>
      </c>
      <c r="D47" s="36" t="s">
        <v>67</v>
      </c>
      <c r="E47" s="36">
        <v>2</v>
      </c>
      <c r="F47" s="36" t="s">
        <v>126</v>
      </c>
      <c r="G47" s="37" t="s">
        <v>147</v>
      </c>
      <c r="H47" s="53" t="s">
        <v>128</v>
      </c>
      <c r="I47" s="39"/>
      <c r="J47" s="54"/>
      <c r="K47" s="54"/>
    </row>
    <row r="48" spans="1:11" ht="15.75" thickBot="1" x14ac:dyDescent="0.35">
      <c r="A48" s="36"/>
      <c r="B48" s="37" t="s">
        <v>97</v>
      </c>
      <c r="C48" s="36">
        <f>250-(SUM(C42:C47))</f>
        <v>187</v>
      </c>
      <c r="D48" s="36" t="s">
        <v>98</v>
      </c>
      <c r="E48" s="36" t="s">
        <v>98</v>
      </c>
      <c r="F48" s="36" t="s">
        <v>69</v>
      </c>
      <c r="G48" s="37" t="s">
        <v>99</v>
      </c>
      <c r="H48" s="48"/>
      <c r="I48" s="39"/>
      <c r="J48" s="54"/>
      <c r="K48" s="54"/>
    </row>
    <row r="49" spans="1:11" x14ac:dyDescent="0.2">
      <c r="J49" s="30"/>
      <c r="K49" s="30"/>
    </row>
    <row r="50" spans="1:11" s="31" customFormat="1" ht="15" x14ac:dyDescent="0.3">
      <c r="A50" s="35"/>
      <c r="B50" s="461"/>
      <c r="C50" s="461"/>
      <c r="D50" s="461"/>
      <c r="E50" s="41"/>
      <c r="F50" s="462"/>
      <c r="G50" s="462"/>
      <c r="H50" s="462"/>
      <c r="I50" s="462"/>
      <c r="J50" s="35"/>
      <c r="K50" s="35"/>
    </row>
    <row r="51" spans="1:11" s="31" customFormat="1" ht="15" x14ac:dyDescent="0.3">
      <c r="A51" s="35"/>
      <c r="B51" s="461"/>
      <c r="C51" s="461"/>
      <c r="D51" s="461"/>
      <c r="E51" s="41"/>
      <c r="F51" s="462"/>
      <c r="G51" s="462"/>
      <c r="H51" s="462"/>
      <c r="I51" s="462"/>
      <c r="J51" s="35"/>
      <c r="K51" s="35"/>
    </row>
    <row r="52" spans="1:11" s="31" customFormat="1" ht="20.25" x14ac:dyDescent="0.35">
      <c r="A52" s="453" t="s">
        <v>301</v>
      </c>
      <c r="B52" s="453"/>
      <c r="C52" s="453"/>
      <c r="D52" s="453"/>
      <c r="E52" s="453"/>
      <c r="F52" s="453"/>
      <c r="G52" s="453"/>
      <c r="H52" s="453"/>
      <c r="I52" s="453"/>
      <c r="J52" s="35"/>
      <c r="K52" s="35"/>
    </row>
    <row r="53" spans="1:11" s="31" customFormat="1" ht="15" x14ac:dyDescent="0.3">
      <c r="A53" s="452" t="s">
        <v>307</v>
      </c>
      <c r="B53" s="452"/>
      <c r="C53" s="452"/>
      <c r="D53" s="452"/>
      <c r="E53" s="452"/>
      <c r="F53" s="452"/>
      <c r="G53" s="452"/>
      <c r="H53" s="452"/>
      <c r="I53" s="452"/>
      <c r="J53" s="35"/>
      <c r="K53" s="35"/>
    </row>
    <row r="54" spans="1:11" s="31" customFormat="1" ht="15.75" thickBot="1" x14ac:dyDescent="0.35">
      <c r="A54" s="146"/>
      <c r="B54" s="146"/>
      <c r="C54" s="146"/>
      <c r="D54" s="146"/>
      <c r="E54" s="146"/>
      <c r="F54" s="146"/>
      <c r="G54" s="146"/>
      <c r="H54" s="146"/>
      <c r="I54" s="146"/>
      <c r="J54" s="35"/>
      <c r="K54" s="35"/>
    </row>
    <row r="55" spans="1:11" s="31" customFormat="1" ht="17.25" thickBot="1" x14ac:dyDescent="0.35">
      <c r="A55" s="148"/>
      <c r="B55" s="148" t="s">
        <v>58</v>
      </c>
      <c r="C55" s="148" t="s">
        <v>59</v>
      </c>
      <c r="D55" s="148" t="s">
        <v>60</v>
      </c>
      <c r="E55" s="148" t="s">
        <v>61</v>
      </c>
      <c r="F55" s="148" t="s">
        <v>62</v>
      </c>
      <c r="G55" s="148" t="s">
        <v>63</v>
      </c>
      <c r="H55" s="148" t="s">
        <v>64</v>
      </c>
      <c r="I55" s="149"/>
      <c r="J55" s="35"/>
      <c r="K55" s="35"/>
    </row>
    <row r="56" spans="1:11" s="31" customFormat="1" ht="15.75" thickBot="1" x14ac:dyDescent="0.35">
      <c r="A56" s="150" t="s">
        <v>65</v>
      </c>
      <c r="B56" s="151"/>
      <c r="C56" s="151"/>
      <c r="D56" s="151"/>
      <c r="E56" s="151"/>
      <c r="F56" s="151"/>
      <c r="G56" s="151"/>
      <c r="H56" s="151"/>
      <c r="I56" s="152"/>
      <c r="J56" s="35"/>
      <c r="K56" s="35"/>
    </row>
    <row r="57" spans="1:11" s="31" customFormat="1" ht="17.25" thickBot="1" x14ac:dyDescent="0.35">
      <c r="A57" s="153">
        <v>1</v>
      </c>
      <c r="B57" s="154" t="s">
        <v>66</v>
      </c>
      <c r="C57" s="153">
        <v>2</v>
      </c>
      <c r="D57" s="153" t="s">
        <v>67</v>
      </c>
      <c r="E57" s="153" t="s">
        <v>68</v>
      </c>
      <c r="F57" s="153" t="s">
        <v>69</v>
      </c>
      <c r="G57" s="154" t="s">
        <v>70</v>
      </c>
      <c r="H57" s="155" t="s">
        <v>71</v>
      </c>
      <c r="I57" s="156"/>
      <c r="J57" s="35"/>
      <c r="K57" s="35"/>
    </row>
    <row r="58" spans="1:11" s="31" customFormat="1" ht="17.25" thickBot="1" x14ac:dyDescent="0.35">
      <c r="A58" s="153">
        <f t="shared" ref="A58:A69" si="2">A57+1</f>
        <v>2</v>
      </c>
      <c r="B58" s="154" t="s">
        <v>72</v>
      </c>
      <c r="C58" s="153">
        <v>20</v>
      </c>
      <c r="D58" s="153" t="s">
        <v>73</v>
      </c>
      <c r="E58" s="153" t="s">
        <v>68</v>
      </c>
      <c r="F58" s="153" t="s">
        <v>69</v>
      </c>
      <c r="G58" s="154" t="s">
        <v>74</v>
      </c>
      <c r="H58" s="153" t="s">
        <v>75</v>
      </c>
      <c r="I58" s="157"/>
      <c r="J58" s="35"/>
      <c r="K58" s="35"/>
    </row>
    <row r="59" spans="1:11" s="31" customFormat="1" ht="41.25" thickBot="1" x14ac:dyDescent="0.35">
      <c r="A59" s="153">
        <f t="shared" si="2"/>
        <v>3</v>
      </c>
      <c r="B59" s="154" t="s">
        <v>76</v>
      </c>
      <c r="C59" s="153">
        <v>1</v>
      </c>
      <c r="D59" s="153" t="s">
        <v>73</v>
      </c>
      <c r="E59" s="153" t="s">
        <v>68</v>
      </c>
      <c r="F59" s="153" t="s">
        <v>69</v>
      </c>
      <c r="G59" s="154" t="s">
        <v>77</v>
      </c>
      <c r="H59" s="449" t="s">
        <v>78</v>
      </c>
      <c r="I59" s="157"/>
      <c r="J59" s="35"/>
      <c r="K59" s="35"/>
    </row>
    <row r="60" spans="1:11" s="31" customFormat="1" ht="27.75" thickBot="1" x14ac:dyDescent="0.35">
      <c r="A60" s="153">
        <f t="shared" si="2"/>
        <v>4</v>
      </c>
      <c r="B60" s="154" t="s">
        <v>79</v>
      </c>
      <c r="C60" s="153">
        <v>9</v>
      </c>
      <c r="D60" s="153" t="s">
        <v>67</v>
      </c>
      <c r="E60" s="153" t="s">
        <v>68</v>
      </c>
      <c r="F60" s="153" t="s">
        <v>69</v>
      </c>
      <c r="G60" s="154" t="s">
        <v>80</v>
      </c>
      <c r="H60" s="450"/>
      <c r="I60" s="157"/>
      <c r="J60" s="35"/>
      <c r="K60" s="35"/>
    </row>
    <row r="61" spans="1:11" s="31" customFormat="1" ht="17.25" thickBot="1" x14ac:dyDescent="0.35">
      <c r="A61" s="153">
        <f t="shared" si="2"/>
        <v>5</v>
      </c>
      <c r="B61" s="154" t="s">
        <v>81</v>
      </c>
      <c r="C61" s="153">
        <v>17</v>
      </c>
      <c r="D61" s="153" t="s">
        <v>67</v>
      </c>
      <c r="E61" s="153" t="s">
        <v>68</v>
      </c>
      <c r="F61" s="153" t="s">
        <v>69</v>
      </c>
      <c r="G61" s="154" t="s">
        <v>82</v>
      </c>
      <c r="H61" s="158" t="s">
        <v>83</v>
      </c>
      <c r="I61" s="156"/>
      <c r="J61" s="35"/>
      <c r="K61" s="35"/>
    </row>
    <row r="62" spans="1:11" s="31" customFormat="1" ht="27.75" thickBot="1" x14ac:dyDescent="0.35">
      <c r="A62" s="153">
        <f t="shared" si="2"/>
        <v>6</v>
      </c>
      <c r="B62" s="159" t="s">
        <v>84</v>
      </c>
      <c r="C62" s="160">
        <v>9</v>
      </c>
      <c r="D62" s="160" t="s">
        <v>67</v>
      </c>
      <c r="E62" s="160" t="s">
        <v>68</v>
      </c>
      <c r="F62" s="160" t="s">
        <v>69</v>
      </c>
      <c r="G62" s="159" t="s">
        <v>85</v>
      </c>
      <c r="H62" s="160">
        <v>123456789</v>
      </c>
      <c r="I62" s="156"/>
      <c r="J62" s="35"/>
      <c r="K62" s="35"/>
    </row>
    <row r="63" spans="1:11" s="31" customFormat="1" ht="27.75" thickBot="1" x14ac:dyDescent="0.35">
      <c r="A63" s="153">
        <f t="shared" si="2"/>
        <v>7</v>
      </c>
      <c r="B63" s="154" t="s">
        <v>86</v>
      </c>
      <c r="C63" s="153">
        <v>8</v>
      </c>
      <c r="D63" s="153" t="s">
        <v>67</v>
      </c>
      <c r="E63" s="153" t="s">
        <v>68</v>
      </c>
      <c r="F63" s="153" t="s">
        <v>69</v>
      </c>
      <c r="G63" s="154" t="s">
        <v>87</v>
      </c>
      <c r="H63" s="161" t="s">
        <v>88</v>
      </c>
      <c r="I63" s="157"/>
      <c r="J63" s="35"/>
      <c r="K63" s="35"/>
    </row>
    <row r="64" spans="1:11" s="31" customFormat="1" ht="27.75" thickBot="1" x14ac:dyDescent="0.35">
      <c r="A64" s="153">
        <f t="shared" si="2"/>
        <v>8</v>
      </c>
      <c r="B64" s="154" t="s">
        <v>89</v>
      </c>
      <c r="C64" s="153">
        <v>6</v>
      </c>
      <c r="D64" s="153" t="s">
        <v>67</v>
      </c>
      <c r="E64" s="153" t="s">
        <v>68</v>
      </c>
      <c r="F64" s="153" t="s">
        <v>69</v>
      </c>
      <c r="G64" s="154" t="s">
        <v>90</v>
      </c>
      <c r="H64" s="162" t="s">
        <v>91</v>
      </c>
      <c r="I64" s="156"/>
    </row>
    <row r="65" spans="1:12" s="31" customFormat="1" ht="17.25" thickBot="1" x14ac:dyDescent="0.35">
      <c r="A65" s="153">
        <f t="shared" si="2"/>
        <v>9</v>
      </c>
      <c r="B65" s="154" t="s">
        <v>92</v>
      </c>
      <c r="C65" s="153">
        <v>17</v>
      </c>
      <c r="D65" s="153" t="s">
        <v>67</v>
      </c>
      <c r="E65" s="153">
        <v>2</v>
      </c>
      <c r="F65" s="153" t="s">
        <v>69</v>
      </c>
      <c r="G65" s="154" t="s">
        <v>93</v>
      </c>
      <c r="H65" s="162" t="s">
        <v>94</v>
      </c>
      <c r="I65" s="156"/>
      <c r="J65" s="50"/>
      <c r="K65" s="50"/>
    </row>
    <row r="66" spans="1:12" s="31" customFormat="1" ht="17.25" thickBot="1" x14ac:dyDescent="0.35">
      <c r="A66" s="153">
        <f t="shared" si="2"/>
        <v>10</v>
      </c>
      <c r="B66" s="154" t="s">
        <v>95</v>
      </c>
      <c r="C66" s="153">
        <v>3</v>
      </c>
      <c r="D66" s="153" t="s">
        <v>67</v>
      </c>
      <c r="E66" s="153" t="s">
        <v>68</v>
      </c>
      <c r="F66" s="153" t="s">
        <v>69</v>
      </c>
      <c r="G66" s="154" t="s">
        <v>96</v>
      </c>
      <c r="H66" s="163" t="s">
        <v>21</v>
      </c>
      <c r="I66" s="157"/>
    </row>
    <row r="67" spans="1:12" s="31" customFormat="1" ht="17.25" thickBot="1" x14ac:dyDescent="0.35">
      <c r="A67" s="153">
        <f t="shared" si="2"/>
        <v>11</v>
      </c>
      <c r="B67" s="164" t="s">
        <v>265</v>
      </c>
      <c r="C67" s="165">
        <v>2</v>
      </c>
      <c r="D67" s="165" t="s">
        <v>67</v>
      </c>
      <c r="E67" s="165" t="s">
        <v>68</v>
      </c>
      <c r="F67" s="165" t="s">
        <v>69</v>
      </c>
      <c r="G67" s="164" t="s">
        <v>266</v>
      </c>
      <c r="H67" s="163"/>
      <c r="I67" s="157"/>
    </row>
    <row r="68" spans="1:12" s="31" customFormat="1" ht="17.25" thickBot="1" x14ac:dyDescent="0.35">
      <c r="A68" s="153">
        <f t="shared" si="2"/>
        <v>12</v>
      </c>
      <c r="B68" s="164" t="s">
        <v>267</v>
      </c>
      <c r="C68" s="165">
        <v>20</v>
      </c>
      <c r="D68" s="165" t="s">
        <v>73</v>
      </c>
      <c r="E68" s="165" t="s">
        <v>68</v>
      </c>
      <c r="F68" s="165" t="s">
        <v>69</v>
      </c>
      <c r="G68" s="164" t="s">
        <v>266</v>
      </c>
      <c r="H68" s="163"/>
      <c r="I68" s="157"/>
    </row>
    <row r="69" spans="1:12" s="31" customFormat="1" ht="17.25" thickBot="1" x14ac:dyDescent="0.35">
      <c r="A69" s="153">
        <f t="shared" si="2"/>
        <v>13</v>
      </c>
      <c r="B69" s="164" t="s">
        <v>294</v>
      </c>
      <c r="C69" s="165">
        <v>9</v>
      </c>
      <c r="D69" s="165" t="s">
        <v>67</v>
      </c>
      <c r="E69" s="165" t="s">
        <v>68</v>
      </c>
      <c r="F69" s="165" t="s">
        <v>69</v>
      </c>
      <c r="G69" s="164" t="s">
        <v>266</v>
      </c>
      <c r="H69" s="163"/>
      <c r="I69" s="157"/>
    </row>
    <row r="70" spans="1:12" s="31" customFormat="1" ht="17.25" thickBot="1" x14ac:dyDescent="0.35">
      <c r="A70" s="153"/>
      <c r="B70" s="154" t="s">
        <v>97</v>
      </c>
      <c r="C70" s="153">
        <f>250-(SUM(C57:C69))</f>
        <v>127</v>
      </c>
      <c r="D70" s="153" t="s">
        <v>98</v>
      </c>
      <c r="E70" s="153" t="s">
        <v>98</v>
      </c>
      <c r="F70" s="153" t="s">
        <v>69</v>
      </c>
      <c r="G70" s="154" t="s">
        <v>99</v>
      </c>
      <c r="H70" s="166"/>
      <c r="I70" s="156"/>
    </row>
    <row r="71" spans="1:12" s="31" customFormat="1" ht="15.75" thickBot="1" x14ac:dyDescent="0.35">
      <c r="A71" s="150" t="s">
        <v>295</v>
      </c>
      <c r="B71" s="151"/>
      <c r="C71" s="151"/>
      <c r="D71" s="151"/>
      <c r="E71" s="151"/>
      <c r="F71" s="151"/>
      <c r="G71" s="151"/>
      <c r="H71" s="151"/>
      <c r="I71" s="152"/>
      <c r="J71" s="35"/>
      <c r="K71" s="35"/>
      <c r="L71" s="35"/>
    </row>
    <row r="72" spans="1:12" s="31" customFormat="1" ht="41.25" thickBot="1" x14ac:dyDescent="0.35">
      <c r="A72" s="153">
        <v>1</v>
      </c>
      <c r="B72" s="154" t="s">
        <v>101</v>
      </c>
      <c r="C72" s="153">
        <v>2</v>
      </c>
      <c r="D72" s="153" t="s">
        <v>73</v>
      </c>
      <c r="E72" s="153" t="s">
        <v>68</v>
      </c>
      <c r="F72" s="153" t="s">
        <v>69</v>
      </c>
      <c r="G72" s="154" t="s">
        <v>102</v>
      </c>
      <c r="H72" s="155" t="s">
        <v>103</v>
      </c>
      <c r="I72" s="156"/>
      <c r="J72" s="58"/>
      <c r="K72" s="59"/>
      <c r="L72" s="35"/>
    </row>
    <row r="73" spans="1:12" s="31" customFormat="1" ht="41.25" thickBot="1" x14ac:dyDescent="0.35">
      <c r="A73" s="153">
        <f t="shared" ref="A73:A91" si="3">A72+1</f>
        <v>2</v>
      </c>
      <c r="B73" s="154" t="s">
        <v>104</v>
      </c>
      <c r="C73" s="153">
        <v>1</v>
      </c>
      <c r="D73" s="153" t="s">
        <v>73</v>
      </c>
      <c r="E73" s="153" t="s">
        <v>68</v>
      </c>
      <c r="F73" s="153" t="s">
        <v>69</v>
      </c>
      <c r="G73" s="154" t="s">
        <v>77</v>
      </c>
      <c r="H73" s="449" t="s">
        <v>78</v>
      </c>
      <c r="I73" s="167"/>
      <c r="J73" s="60"/>
      <c r="K73" s="60"/>
      <c r="L73" s="35"/>
    </row>
    <row r="74" spans="1:12" s="31" customFormat="1" ht="27.75" thickBot="1" x14ac:dyDescent="0.35">
      <c r="A74" s="153">
        <f t="shared" si="3"/>
        <v>3</v>
      </c>
      <c r="B74" s="154" t="s">
        <v>246</v>
      </c>
      <c r="C74" s="153">
        <v>9</v>
      </c>
      <c r="D74" s="153" t="s">
        <v>67</v>
      </c>
      <c r="E74" s="153" t="s">
        <v>68</v>
      </c>
      <c r="F74" s="153" t="s">
        <v>69</v>
      </c>
      <c r="G74" s="154" t="s">
        <v>80</v>
      </c>
      <c r="H74" s="450"/>
      <c r="I74" s="167"/>
      <c r="J74" s="35"/>
      <c r="K74" s="35"/>
      <c r="L74" s="35"/>
    </row>
    <row r="75" spans="1:12" s="31" customFormat="1" ht="54.75" thickBot="1" x14ac:dyDescent="0.35">
      <c r="A75" s="153">
        <f t="shared" si="3"/>
        <v>4</v>
      </c>
      <c r="B75" s="159" t="s">
        <v>106</v>
      </c>
      <c r="C75" s="160">
        <v>60</v>
      </c>
      <c r="D75" s="160" t="s">
        <v>73</v>
      </c>
      <c r="E75" s="160" t="s">
        <v>68</v>
      </c>
      <c r="F75" s="160" t="s">
        <v>69</v>
      </c>
      <c r="G75" s="159" t="s">
        <v>107</v>
      </c>
      <c r="H75" s="160" t="s">
        <v>108</v>
      </c>
      <c r="I75" s="156"/>
      <c r="J75" s="35"/>
      <c r="K75" s="35"/>
      <c r="L75" s="35"/>
    </row>
    <row r="76" spans="1:12" s="31" customFormat="1" ht="27.75" thickBot="1" x14ac:dyDescent="0.35">
      <c r="A76" s="153">
        <f t="shared" si="3"/>
        <v>5</v>
      </c>
      <c r="B76" s="159" t="s">
        <v>109</v>
      </c>
      <c r="C76" s="160">
        <v>9</v>
      </c>
      <c r="D76" s="160" t="s">
        <v>67</v>
      </c>
      <c r="E76" s="160" t="s">
        <v>68</v>
      </c>
      <c r="F76" s="160" t="s">
        <v>69</v>
      </c>
      <c r="G76" s="159" t="s">
        <v>110</v>
      </c>
      <c r="H76" s="160">
        <v>123456789</v>
      </c>
      <c r="I76" s="157"/>
      <c r="J76" s="35"/>
      <c r="K76" s="35"/>
      <c r="L76" s="35"/>
    </row>
    <row r="77" spans="1:12" s="31" customFormat="1" ht="17.25" thickBot="1" x14ac:dyDescent="0.35">
      <c r="A77" s="153">
        <f t="shared" si="3"/>
        <v>6</v>
      </c>
      <c r="B77" s="159" t="s">
        <v>111</v>
      </c>
      <c r="C77" s="160">
        <v>30</v>
      </c>
      <c r="D77" s="160" t="s">
        <v>73</v>
      </c>
      <c r="E77" s="160" t="s">
        <v>68</v>
      </c>
      <c r="F77" s="160" t="s">
        <v>69</v>
      </c>
      <c r="G77" s="159" t="s">
        <v>54</v>
      </c>
      <c r="H77" s="160" t="s">
        <v>112</v>
      </c>
      <c r="I77" s="157"/>
      <c r="J77" s="35"/>
      <c r="K77" s="35"/>
      <c r="L77" s="35"/>
    </row>
    <row r="78" spans="1:12" s="31" customFormat="1" ht="95.25" thickBot="1" x14ac:dyDescent="0.35">
      <c r="A78" s="153">
        <f t="shared" si="3"/>
        <v>7</v>
      </c>
      <c r="B78" s="159" t="s">
        <v>113</v>
      </c>
      <c r="C78" s="160">
        <v>3</v>
      </c>
      <c r="D78" s="160" t="s">
        <v>73</v>
      </c>
      <c r="E78" s="160" t="s">
        <v>68</v>
      </c>
      <c r="F78" s="160" t="s">
        <v>69</v>
      </c>
      <c r="G78" s="159" t="s">
        <v>114</v>
      </c>
      <c r="H78" s="160" t="s">
        <v>23</v>
      </c>
      <c r="I78" s="156"/>
      <c r="J78" s="35"/>
      <c r="K78" s="35"/>
      <c r="L78" s="35"/>
    </row>
    <row r="79" spans="1:12" s="31" customFormat="1" ht="68.25" thickBot="1" x14ac:dyDescent="0.35">
      <c r="A79" s="153">
        <f t="shared" si="3"/>
        <v>8</v>
      </c>
      <c r="B79" s="159" t="s">
        <v>115</v>
      </c>
      <c r="C79" s="160">
        <v>20</v>
      </c>
      <c r="D79" s="160" t="s">
        <v>67</v>
      </c>
      <c r="E79" s="160" t="s">
        <v>68</v>
      </c>
      <c r="F79" s="160" t="s">
        <v>69</v>
      </c>
      <c r="G79" s="159" t="s">
        <v>116</v>
      </c>
      <c r="H79" s="159" t="s">
        <v>117</v>
      </c>
      <c r="I79" s="156"/>
      <c r="J79" s="35"/>
      <c r="K79" s="35"/>
      <c r="L79" s="35"/>
    </row>
    <row r="80" spans="1:12" s="31" customFormat="1" ht="17.25" thickBot="1" x14ac:dyDescent="0.35">
      <c r="A80" s="153">
        <f t="shared" si="3"/>
        <v>9</v>
      </c>
      <c r="B80" s="159" t="s">
        <v>118</v>
      </c>
      <c r="C80" s="160">
        <v>4</v>
      </c>
      <c r="D80" s="160" t="s">
        <v>67</v>
      </c>
      <c r="E80" s="160" t="s">
        <v>68</v>
      </c>
      <c r="F80" s="160" t="s">
        <v>69</v>
      </c>
      <c r="G80" s="159" t="s">
        <v>119</v>
      </c>
      <c r="H80" s="168" t="s">
        <v>120</v>
      </c>
      <c r="I80" s="156"/>
      <c r="J80" s="35"/>
      <c r="K80" s="35"/>
      <c r="L80" s="35"/>
    </row>
    <row r="81" spans="1:12" s="31" customFormat="1" ht="27.75" thickBot="1" x14ac:dyDescent="0.35">
      <c r="A81" s="153">
        <f t="shared" si="3"/>
        <v>10</v>
      </c>
      <c r="B81" s="159" t="s">
        <v>121</v>
      </c>
      <c r="C81" s="153">
        <v>8</v>
      </c>
      <c r="D81" s="153" t="s">
        <v>67</v>
      </c>
      <c r="E81" s="153" t="s">
        <v>68</v>
      </c>
      <c r="F81" s="153" t="s">
        <v>69</v>
      </c>
      <c r="G81" s="154" t="s">
        <v>122</v>
      </c>
      <c r="H81" s="161" t="s">
        <v>88</v>
      </c>
      <c r="I81" s="167"/>
      <c r="J81" s="35"/>
      <c r="K81" s="35"/>
      <c r="L81" s="35"/>
    </row>
    <row r="82" spans="1:12" s="31" customFormat="1" ht="17.25" thickBot="1" x14ac:dyDescent="0.35">
      <c r="A82" s="153">
        <f t="shared" si="3"/>
        <v>11</v>
      </c>
      <c r="B82" s="154" t="s">
        <v>123</v>
      </c>
      <c r="C82" s="153">
        <v>15</v>
      </c>
      <c r="D82" s="153" t="s">
        <v>67</v>
      </c>
      <c r="E82" s="153">
        <v>2</v>
      </c>
      <c r="F82" s="153" t="s">
        <v>69</v>
      </c>
      <c r="G82" s="154" t="s">
        <v>124</v>
      </c>
      <c r="H82" s="153">
        <v>1400075</v>
      </c>
      <c r="I82" s="156"/>
      <c r="J82" s="35"/>
      <c r="K82" s="35"/>
      <c r="L82" s="35"/>
    </row>
    <row r="83" spans="1:12" s="31" customFormat="1" ht="17.25" thickBot="1" x14ac:dyDescent="0.35">
      <c r="A83" s="153">
        <f t="shared" si="3"/>
        <v>12</v>
      </c>
      <c r="B83" s="154" t="s">
        <v>95</v>
      </c>
      <c r="C83" s="153">
        <v>3</v>
      </c>
      <c r="D83" s="153" t="s">
        <v>67</v>
      </c>
      <c r="E83" s="153" t="s">
        <v>68</v>
      </c>
      <c r="F83" s="153" t="s">
        <v>69</v>
      </c>
      <c r="G83" s="154" t="s">
        <v>96</v>
      </c>
      <c r="H83" s="163" t="s">
        <v>21</v>
      </c>
      <c r="I83" s="157"/>
      <c r="J83" s="35"/>
      <c r="K83" s="35"/>
      <c r="L83" s="35"/>
    </row>
    <row r="84" spans="1:12" s="31" customFormat="1" ht="27.75" thickBot="1" x14ac:dyDescent="0.35">
      <c r="A84" s="153">
        <f t="shared" si="3"/>
        <v>13</v>
      </c>
      <c r="B84" s="154" t="s">
        <v>125</v>
      </c>
      <c r="C84" s="153">
        <v>15</v>
      </c>
      <c r="D84" s="153" t="s">
        <v>67</v>
      </c>
      <c r="E84" s="153">
        <v>2</v>
      </c>
      <c r="F84" s="153" t="s">
        <v>126</v>
      </c>
      <c r="G84" s="154" t="s">
        <v>127</v>
      </c>
      <c r="H84" s="162" t="s">
        <v>128</v>
      </c>
      <c r="I84" s="157"/>
      <c r="J84" s="35"/>
      <c r="K84" s="35"/>
      <c r="L84" s="35"/>
    </row>
    <row r="85" spans="1:12" s="31" customFormat="1" ht="17.25" thickBot="1" x14ac:dyDescent="0.35">
      <c r="A85" s="153">
        <f t="shared" si="3"/>
        <v>14</v>
      </c>
      <c r="B85" s="159" t="s">
        <v>129</v>
      </c>
      <c r="C85" s="160">
        <v>40</v>
      </c>
      <c r="D85" s="160" t="s">
        <v>73</v>
      </c>
      <c r="E85" s="160" t="s">
        <v>68</v>
      </c>
      <c r="F85" s="160" t="s">
        <v>126</v>
      </c>
      <c r="G85" s="159" t="s">
        <v>130</v>
      </c>
      <c r="H85" s="52" t="s">
        <v>131</v>
      </c>
      <c r="I85" s="157"/>
      <c r="J85" s="35"/>
      <c r="K85" s="35"/>
      <c r="L85" s="35"/>
    </row>
    <row r="86" spans="1:12" s="31" customFormat="1" ht="17.25" thickBot="1" x14ac:dyDescent="0.35">
      <c r="A86" s="153">
        <f t="shared" si="3"/>
        <v>15</v>
      </c>
      <c r="B86" s="154" t="s">
        <v>132</v>
      </c>
      <c r="C86" s="153">
        <v>11</v>
      </c>
      <c r="D86" s="153" t="s">
        <v>67</v>
      </c>
      <c r="E86" s="153" t="s">
        <v>68</v>
      </c>
      <c r="F86" s="153" t="s">
        <v>126</v>
      </c>
      <c r="G86" s="154" t="s">
        <v>133</v>
      </c>
      <c r="H86" s="158" t="s">
        <v>134</v>
      </c>
      <c r="I86" s="157"/>
      <c r="J86" s="35"/>
      <c r="K86" s="35"/>
      <c r="L86" s="35"/>
    </row>
    <row r="87" spans="1:12" s="31" customFormat="1" ht="27.75" thickBot="1" x14ac:dyDescent="0.35">
      <c r="A87" s="153">
        <f t="shared" si="3"/>
        <v>16</v>
      </c>
      <c r="B87" s="164" t="s">
        <v>296</v>
      </c>
      <c r="C87" s="165">
        <v>8</v>
      </c>
      <c r="D87" s="165" t="s">
        <v>67</v>
      </c>
      <c r="E87" s="165" t="s">
        <v>68</v>
      </c>
      <c r="F87" s="165" t="s">
        <v>69</v>
      </c>
      <c r="G87" s="164" t="s">
        <v>297</v>
      </c>
      <c r="H87" s="169"/>
      <c r="I87" s="157"/>
      <c r="J87" s="35"/>
      <c r="K87" s="35"/>
      <c r="L87" s="35"/>
    </row>
    <row r="88" spans="1:12" s="31" customFormat="1" ht="17.25" thickBot="1" x14ac:dyDescent="0.35">
      <c r="A88" s="153">
        <f t="shared" si="3"/>
        <v>17</v>
      </c>
      <c r="B88" s="164" t="s">
        <v>265</v>
      </c>
      <c r="C88" s="165">
        <v>2</v>
      </c>
      <c r="D88" s="165" t="s">
        <v>67</v>
      </c>
      <c r="E88" s="165" t="s">
        <v>68</v>
      </c>
      <c r="F88" s="165" t="s">
        <v>69</v>
      </c>
      <c r="G88" s="164" t="s">
        <v>266</v>
      </c>
      <c r="H88" s="169"/>
      <c r="I88" s="157"/>
      <c r="J88" s="35"/>
      <c r="K88" s="35"/>
      <c r="L88" s="35"/>
    </row>
    <row r="89" spans="1:12" s="31" customFormat="1" ht="17.25" thickBot="1" x14ac:dyDescent="0.35">
      <c r="A89" s="153">
        <f t="shared" si="3"/>
        <v>18</v>
      </c>
      <c r="B89" s="164" t="s">
        <v>267</v>
      </c>
      <c r="C89" s="165">
        <v>30</v>
      </c>
      <c r="D89" s="165" t="s">
        <v>73</v>
      </c>
      <c r="E89" s="165" t="s">
        <v>68</v>
      </c>
      <c r="F89" s="165" t="s">
        <v>69</v>
      </c>
      <c r="G89" s="164" t="s">
        <v>266</v>
      </c>
      <c r="H89" s="169"/>
      <c r="I89" s="157"/>
      <c r="J89" s="35"/>
      <c r="K89" s="35"/>
      <c r="L89" s="35"/>
    </row>
    <row r="90" spans="1:12" s="31" customFormat="1" ht="17.25" thickBot="1" x14ac:dyDescent="0.35">
      <c r="A90" s="153">
        <f t="shared" si="3"/>
        <v>19</v>
      </c>
      <c r="B90" s="164" t="s">
        <v>298</v>
      </c>
      <c r="C90" s="165">
        <v>2</v>
      </c>
      <c r="D90" s="165" t="s">
        <v>67</v>
      </c>
      <c r="E90" s="165" t="s">
        <v>68</v>
      </c>
      <c r="F90" s="165" t="s">
        <v>299</v>
      </c>
      <c r="G90" s="164" t="s">
        <v>266</v>
      </c>
      <c r="H90" s="170"/>
      <c r="I90" s="157"/>
    </row>
    <row r="91" spans="1:12" s="31" customFormat="1" ht="17.25" thickBot="1" x14ac:dyDescent="0.35">
      <c r="A91" s="153">
        <f t="shared" si="3"/>
        <v>20</v>
      </c>
      <c r="B91" s="171" t="s">
        <v>300</v>
      </c>
      <c r="C91" s="172">
        <v>30</v>
      </c>
      <c r="D91" s="172" t="s">
        <v>73</v>
      </c>
      <c r="E91" s="172" t="s">
        <v>68</v>
      </c>
      <c r="F91" s="172" t="s">
        <v>299</v>
      </c>
      <c r="G91" s="171" t="s">
        <v>266</v>
      </c>
      <c r="H91" s="173" t="s">
        <v>98</v>
      </c>
      <c r="I91" s="156"/>
    </row>
    <row r="92" spans="1:12" s="31" customFormat="1" ht="15.75" thickBot="1" x14ac:dyDescent="0.35">
      <c r="A92" s="150" t="s">
        <v>135</v>
      </c>
      <c r="B92" s="151"/>
      <c r="C92" s="151"/>
      <c r="D92" s="151"/>
      <c r="E92" s="151"/>
      <c r="F92" s="151"/>
      <c r="G92" s="151"/>
      <c r="H92" s="151"/>
      <c r="I92" s="152"/>
    </row>
    <row r="93" spans="1:12" s="31" customFormat="1" ht="41.25" thickBot="1" x14ac:dyDescent="0.35">
      <c r="A93" s="153">
        <v>1</v>
      </c>
      <c r="B93" s="154" t="s">
        <v>136</v>
      </c>
      <c r="C93" s="153">
        <v>2</v>
      </c>
      <c r="D93" s="153" t="s">
        <v>73</v>
      </c>
      <c r="E93" s="153" t="s">
        <v>68</v>
      </c>
      <c r="F93" s="153" t="s">
        <v>69</v>
      </c>
      <c r="G93" s="154" t="s">
        <v>137</v>
      </c>
      <c r="H93" s="155" t="s">
        <v>138</v>
      </c>
      <c r="I93" s="174"/>
    </row>
    <row r="94" spans="1:12" s="31" customFormat="1" ht="27.75" thickBot="1" x14ac:dyDescent="0.35">
      <c r="A94" s="160">
        <f>A93+1</f>
        <v>2</v>
      </c>
      <c r="B94" s="159" t="s">
        <v>139</v>
      </c>
      <c r="C94" s="160">
        <v>20</v>
      </c>
      <c r="D94" s="160" t="s">
        <v>73</v>
      </c>
      <c r="E94" s="160" t="s">
        <v>68</v>
      </c>
      <c r="F94" s="160" t="s">
        <v>69</v>
      </c>
      <c r="G94" s="159" t="s">
        <v>140</v>
      </c>
      <c r="H94" s="160" t="s">
        <v>141</v>
      </c>
      <c r="I94" s="174"/>
    </row>
    <row r="95" spans="1:12" s="31" customFormat="1" ht="17.25" thickBot="1" x14ac:dyDescent="0.35">
      <c r="A95" s="160">
        <f>A94+1</f>
        <v>3</v>
      </c>
      <c r="B95" s="159" t="s">
        <v>142</v>
      </c>
      <c r="C95" s="160">
        <v>15</v>
      </c>
      <c r="D95" s="160" t="s">
        <v>73</v>
      </c>
      <c r="E95" s="160">
        <v>2</v>
      </c>
      <c r="F95" s="160" t="s">
        <v>69</v>
      </c>
      <c r="G95" s="159" t="s">
        <v>143</v>
      </c>
      <c r="H95" s="153">
        <v>1400075</v>
      </c>
      <c r="I95" s="174"/>
    </row>
    <row r="96" spans="1:12" s="31" customFormat="1" ht="17.25" thickBot="1" x14ac:dyDescent="0.35">
      <c r="A96" s="160">
        <f>A95+1</f>
        <v>4</v>
      </c>
      <c r="B96" s="159" t="s">
        <v>95</v>
      </c>
      <c r="C96" s="153">
        <v>3</v>
      </c>
      <c r="D96" s="153" t="s">
        <v>67</v>
      </c>
      <c r="E96" s="153" t="s">
        <v>68</v>
      </c>
      <c r="F96" s="153" t="s">
        <v>69</v>
      </c>
      <c r="G96" s="154" t="s">
        <v>96</v>
      </c>
      <c r="H96" s="163" t="s">
        <v>21</v>
      </c>
      <c r="I96" s="174"/>
    </row>
    <row r="97" spans="1:9" s="31" customFormat="1" ht="27.75" thickBot="1" x14ac:dyDescent="0.35">
      <c r="A97" s="160">
        <f>A96+1</f>
        <v>5</v>
      </c>
      <c r="B97" s="159" t="s">
        <v>144</v>
      </c>
      <c r="C97" s="160">
        <v>8</v>
      </c>
      <c r="D97" s="160" t="s">
        <v>67</v>
      </c>
      <c r="E97" s="160" t="s">
        <v>68</v>
      </c>
      <c r="F97" s="160" t="s">
        <v>69</v>
      </c>
      <c r="G97" s="159" t="s">
        <v>145</v>
      </c>
      <c r="H97" s="161" t="s">
        <v>146</v>
      </c>
      <c r="I97" s="174"/>
    </row>
    <row r="98" spans="1:9" s="31" customFormat="1" ht="17.25" thickBot="1" x14ac:dyDescent="0.35">
      <c r="A98" s="160">
        <f>A97+1</f>
        <v>6</v>
      </c>
      <c r="B98" s="154" t="s">
        <v>125</v>
      </c>
      <c r="C98" s="153">
        <v>15</v>
      </c>
      <c r="D98" s="153" t="s">
        <v>67</v>
      </c>
      <c r="E98" s="153">
        <v>2</v>
      </c>
      <c r="F98" s="153" t="s">
        <v>126</v>
      </c>
      <c r="G98" s="154" t="s">
        <v>147</v>
      </c>
      <c r="H98" s="175" t="s">
        <v>128</v>
      </c>
      <c r="I98" s="174"/>
    </row>
    <row r="99" spans="1:9" s="31" customFormat="1" ht="17.25" thickBot="1" x14ac:dyDescent="0.35">
      <c r="A99" s="153"/>
      <c r="B99" s="154" t="s">
        <v>97</v>
      </c>
      <c r="C99" s="153">
        <f>250-(SUM(C93:C98))</f>
        <v>187</v>
      </c>
      <c r="D99" s="153" t="s">
        <v>98</v>
      </c>
      <c r="E99" s="153" t="s">
        <v>98</v>
      </c>
      <c r="F99" s="153" t="s">
        <v>69</v>
      </c>
      <c r="G99" s="154" t="s">
        <v>99</v>
      </c>
      <c r="H99" s="166"/>
      <c r="I99" s="174"/>
    </row>
    <row r="100" spans="1:9" s="31" customFormat="1" ht="16.5" x14ac:dyDescent="0.3">
      <c r="A100" s="176" t="s">
        <v>273</v>
      </c>
      <c r="B100" s="177"/>
      <c r="C100" s="177"/>
      <c r="D100" s="177"/>
      <c r="E100" s="177"/>
      <c r="F100" s="177"/>
      <c r="G100" s="178"/>
      <c r="H100" s="178"/>
      <c r="I100" s="178"/>
    </row>
    <row r="101" spans="1:9" s="31" customFormat="1" ht="16.5" x14ac:dyDescent="0.3">
      <c r="A101" s="177"/>
      <c r="B101" s="176" t="s">
        <v>148</v>
      </c>
      <c r="C101" s="177"/>
      <c r="D101" s="177"/>
      <c r="E101" s="177"/>
      <c r="F101" s="177"/>
      <c r="G101" s="178"/>
      <c r="H101" s="178"/>
      <c r="I101" s="178"/>
    </row>
    <row r="102" spans="1:9" s="31" customFormat="1" ht="16.5" x14ac:dyDescent="0.3">
      <c r="A102" s="177"/>
      <c r="B102" s="176" t="s">
        <v>149</v>
      </c>
      <c r="C102" s="177"/>
      <c r="D102" s="177"/>
      <c r="E102" s="177"/>
      <c r="F102" s="177"/>
      <c r="G102" s="178"/>
      <c r="H102" s="178"/>
      <c r="I102" s="178"/>
    </row>
    <row r="103" spans="1:9" s="31" customFormat="1" ht="16.5" x14ac:dyDescent="0.3">
      <c r="A103" s="178"/>
      <c r="B103" s="178"/>
      <c r="C103" s="178"/>
      <c r="D103" s="178"/>
      <c r="E103" s="178"/>
      <c r="F103" s="178"/>
      <c r="G103" s="178"/>
      <c r="H103" s="178"/>
      <c r="I103" s="178"/>
    </row>
    <row r="104" spans="1:9" s="31" customFormat="1" ht="16.5" x14ac:dyDescent="0.3">
      <c r="A104" s="179" t="s">
        <v>158</v>
      </c>
      <c r="B104" s="180"/>
      <c r="C104" s="180"/>
      <c r="D104" s="180"/>
      <c r="E104" s="180"/>
      <c r="F104" s="180"/>
      <c r="G104" s="180"/>
      <c r="H104" s="181"/>
      <c r="I104" s="174"/>
    </row>
    <row r="105" spans="1:9" s="31" customFormat="1" ht="16.5" x14ac:dyDescent="0.3">
      <c r="A105" s="182"/>
      <c r="B105" s="178"/>
      <c r="C105" s="178"/>
      <c r="D105" s="178"/>
      <c r="E105" s="178"/>
      <c r="F105" s="178"/>
      <c r="G105" s="178"/>
      <c r="H105" s="178"/>
      <c r="I105" s="178"/>
    </row>
    <row r="106" spans="1:9" s="31" customFormat="1" ht="15" x14ac:dyDescent="0.3">
      <c r="A106" s="451" t="s">
        <v>150</v>
      </c>
      <c r="B106" s="451"/>
      <c r="C106" s="451"/>
      <c r="D106" s="451"/>
      <c r="E106" s="451"/>
      <c r="F106" s="451"/>
      <c r="G106" s="451"/>
      <c r="H106" s="451"/>
      <c r="I106" s="451"/>
    </row>
    <row r="107" spans="1:9" s="31" customFormat="1" ht="16.5" x14ac:dyDescent="0.3">
      <c r="A107" s="178"/>
      <c r="B107" s="183" t="s">
        <v>151</v>
      </c>
      <c r="C107" s="184"/>
      <c r="D107" s="184"/>
      <c r="E107" s="184"/>
      <c r="F107" s="184"/>
      <c r="G107" s="185"/>
      <c r="H107" s="185"/>
      <c r="I107" s="178"/>
    </row>
    <row r="108" spans="1:9" s="31" customFormat="1" ht="16.5" x14ac:dyDescent="0.3">
      <c r="A108" s="186"/>
      <c r="B108" s="183" t="s">
        <v>152</v>
      </c>
      <c r="C108" s="184"/>
      <c r="D108" s="184"/>
      <c r="E108" s="184"/>
      <c r="F108" s="184"/>
      <c r="G108" s="185"/>
      <c r="H108" s="185"/>
      <c r="I108" s="178"/>
    </row>
    <row r="109" spans="1:9" s="31" customFormat="1" ht="16.5" x14ac:dyDescent="0.3">
      <c r="A109" s="178"/>
      <c r="B109" s="183" t="s">
        <v>153</v>
      </c>
      <c r="C109" s="184"/>
      <c r="D109" s="184"/>
      <c r="E109" s="184"/>
      <c r="F109" s="184"/>
      <c r="G109" s="185"/>
      <c r="H109" s="185"/>
      <c r="I109" s="178"/>
    </row>
    <row r="110" spans="1:9" s="31" customFormat="1" ht="16.5" x14ac:dyDescent="0.3">
      <c r="A110" s="178"/>
      <c r="B110" s="183" t="s">
        <v>154</v>
      </c>
      <c r="C110" s="184"/>
      <c r="D110" s="184"/>
      <c r="E110" s="184"/>
      <c r="F110" s="184"/>
      <c r="G110" s="185"/>
      <c r="H110" s="185"/>
      <c r="I110" s="178"/>
    </row>
    <row r="111" spans="1:9" s="31" customFormat="1" ht="16.5" x14ac:dyDescent="0.3">
      <c r="A111" s="178"/>
      <c r="B111" s="187" t="s">
        <v>155</v>
      </c>
      <c r="C111" s="184"/>
      <c r="D111" s="184"/>
      <c r="E111" s="184"/>
      <c r="F111" s="184"/>
      <c r="G111" s="185"/>
      <c r="H111" s="185"/>
      <c r="I111" s="178"/>
    </row>
    <row r="112" spans="1:9" s="31" customFormat="1" ht="16.5" x14ac:dyDescent="0.3">
      <c r="A112" s="178"/>
      <c r="B112" s="183" t="s">
        <v>156</v>
      </c>
      <c r="C112" s="184"/>
      <c r="D112" s="184"/>
      <c r="E112" s="184"/>
      <c r="F112" s="184"/>
      <c r="G112" s="185"/>
      <c r="H112" s="185"/>
      <c r="I112" s="178"/>
    </row>
    <row r="113" spans="1:9" s="31" customFormat="1" ht="16.5" x14ac:dyDescent="0.3">
      <c r="A113" s="178"/>
      <c r="B113" s="183" t="s">
        <v>157</v>
      </c>
      <c r="C113" s="184"/>
      <c r="D113" s="184"/>
      <c r="E113" s="184"/>
      <c r="F113" s="184"/>
      <c r="G113" s="185"/>
      <c r="H113" s="185"/>
      <c r="I113" s="178"/>
    </row>
    <row r="114" spans="1:9" s="31" customFormat="1" ht="16.5" x14ac:dyDescent="0.3">
      <c r="A114" s="188"/>
      <c r="B114" s="188"/>
      <c r="C114" s="188"/>
      <c r="D114" s="188"/>
      <c r="E114" s="188"/>
      <c r="F114" s="188"/>
      <c r="G114" s="188"/>
      <c r="H114" s="188"/>
      <c r="I114" s="188"/>
    </row>
    <row r="115" spans="1:9" s="31" customFormat="1" ht="15" x14ac:dyDescent="0.3"/>
    <row r="116" spans="1:9" s="31" customFormat="1" ht="15" x14ac:dyDescent="0.3"/>
    <row r="117" spans="1:9" s="31" customFormat="1" ht="15" x14ac:dyDescent="0.3"/>
  </sheetData>
  <sheetProtection selectLockedCells="1"/>
  <mergeCells count="15">
    <mergeCell ref="A7:I7"/>
    <mergeCell ref="B51:D51"/>
    <mergeCell ref="F51:I51"/>
    <mergeCell ref="H15:H16"/>
    <mergeCell ref="H26:H27"/>
    <mergeCell ref="B50:D50"/>
    <mergeCell ref="F50:I50"/>
    <mergeCell ref="H59:H60"/>
    <mergeCell ref="H73:H74"/>
    <mergeCell ref="A106:I106"/>
    <mergeCell ref="A8:I8"/>
    <mergeCell ref="A53:I53"/>
    <mergeCell ref="A52:I52"/>
    <mergeCell ref="A11:I11"/>
    <mergeCell ref="A24:I24"/>
  </mergeCells>
  <phoneticPr fontId="13" type="noConversion"/>
  <hyperlinks>
    <hyperlink ref="H38" r:id="rId1" xr:uid="{00000000-0004-0000-1000-000000000000}"/>
    <hyperlink ref="H85" r:id="rId2" xr:uid="{00000000-0004-0000-1000-000001000000}"/>
  </hyperlinks>
  <pageMargins left="0.75" right="0.75" top="1" bottom="1" header="0" footer="0"/>
  <pageSetup orientation="portrait" verticalDpi="1200" r:id="rId3"/>
  <headerFooter alignWithMargins="0"/>
  <drawing r:id="rId4"/>
  <legacyDrawing r:id="rId5"/>
  <controls>
    <mc:AlternateContent xmlns:mc="http://schemas.openxmlformats.org/markup-compatibility/2006">
      <mc:Choice Requires="x14">
        <control shapeId="4116" r:id="rId6" name="CommandButton1">
          <controlPr defaultSize="0" autoLine="0" r:id="rId7">
            <anchor moveWithCells="1">
              <from>
                <xdr:col>7</xdr:col>
                <xdr:colOff>771525</xdr:colOff>
                <xdr:row>3</xdr:row>
                <xdr:rowOff>28575</xdr:rowOff>
              </from>
              <to>
                <xdr:col>9</xdr:col>
                <xdr:colOff>9525</xdr:colOff>
                <xdr:row>5</xdr:row>
                <xdr:rowOff>57150</xdr:rowOff>
              </to>
            </anchor>
          </controlPr>
        </control>
      </mc:Choice>
      <mc:Fallback>
        <control shapeId="4116" r:id="rId6" name="CommandButton1"/>
      </mc:Fallback>
    </mc:AlternateContent>
    <mc:AlternateContent xmlns:mc="http://schemas.openxmlformats.org/markup-compatibility/2006">
      <mc:Choice Requires="x14">
        <control shapeId="4097" r:id="rId8" name="Button 1">
          <controlPr defaultSize="0" print="0" autoFill="0" autoPict="0" macro="[0]!Portada_AlHacerClic">
            <anchor moveWithCells="1" sizeWithCells="1">
              <from>
                <xdr:col>43</xdr:col>
                <xdr:colOff>123825</xdr:colOff>
                <xdr:row>20</xdr:row>
                <xdr:rowOff>276225</xdr:rowOff>
              </from>
              <to>
                <xdr:col>44</xdr:col>
                <xdr:colOff>390525</xdr:colOff>
                <xdr:row>22</xdr:row>
                <xdr:rowOff>76200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0"/>
  <dimension ref="A1:L114"/>
  <sheetViews>
    <sheetView showGridLines="0" showRowColHeaders="0" topLeftCell="A2" workbookViewId="0"/>
  </sheetViews>
  <sheetFormatPr baseColWidth="10" defaultColWidth="11.42578125" defaultRowHeight="12.75" x14ac:dyDescent="0.2"/>
  <cols>
    <col min="1" max="1" width="8.5703125" style="25" customWidth="1"/>
    <col min="2" max="2" width="20.42578125" style="25" customWidth="1"/>
    <col min="3" max="3" width="9.5703125" style="25" customWidth="1"/>
    <col min="4" max="4" width="8.7109375" style="25" customWidth="1"/>
    <col min="5" max="5" width="17.85546875" style="25" customWidth="1"/>
    <col min="6" max="6" width="10.140625" style="25" customWidth="1"/>
    <col min="7" max="7" width="31.28515625" style="25" customWidth="1"/>
    <col min="8" max="8" width="20.140625" style="25" customWidth="1"/>
    <col min="9" max="9" width="4" style="25" customWidth="1"/>
    <col min="10" max="10" width="1.7109375" style="25" customWidth="1"/>
    <col min="11" max="16384" width="11.42578125" style="25"/>
  </cols>
  <sheetData>
    <row r="1" spans="1:12" hidden="1" x14ac:dyDescent="0.2"/>
    <row r="2" spans="1:12" ht="24" customHeight="1" x14ac:dyDescent="0.2"/>
    <row r="3" spans="1:12" ht="21" customHeight="1" x14ac:dyDescent="0.2"/>
    <row r="4" spans="1:12" ht="20.25" x14ac:dyDescent="0.35">
      <c r="A4" s="460" t="s">
        <v>159</v>
      </c>
      <c r="B4" s="460"/>
      <c r="C4" s="460"/>
      <c r="D4" s="460"/>
      <c r="E4" s="460"/>
      <c r="F4" s="460"/>
      <c r="G4" s="460"/>
      <c r="H4" s="460"/>
      <c r="I4" s="460"/>
    </row>
    <row r="5" spans="1:12" ht="15" x14ac:dyDescent="0.3">
      <c r="A5" s="452" t="s">
        <v>239</v>
      </c>
      <c r="B5" s="452"/>
      <c r="C5" s="452"/>
      <c r="D5" s="452"/>
      <c r="E5" s="452"/>
      <c r="F5" s="452"/>
      <c r="G5" s="452"/>
      <c r="H5" s="452"/>
      <c r="I5" s="452"/>
    </row>
    <row r="7" spans="1:12" ht="8.25" customHeight="1" thickBot="1" x14ac:dyDescent="0.25">
      <c r="A7" s="27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</row>
    <row r="8" spans="1:12" ht="13.5" thickBot="1" x14ac:dyDescent="0.25">
      <c r="A8" s="467" t="s">
        <v>65</v>
      </c>
      <c r="B8" s="468"/>
      <c r="C8" s="468"/>
      <c r="D8" s="468"/>
      <c r="E8" s="468"/>
      <c r="F8" s="468"/>
      <c r="G8" s="468"/>
      <c r="H8" s="468"/>
      <c r="I8" s="469"/>
    </row>
    <row r="9" spans="1:12" ht="15.75" thickBot="1" x14ac:dyDescent="0.35">
      <c r="A9" s="274"/>
      <c r="B9" s="274" t="s">
        <v>58</v>
      </c>
      <c r="C9" s="274" t="s">
        <v>59</v>
      </c>
      <c r="D9" s="274" t="s">
        <v>60</v>
      </c>
      <c r="E9" s="274" t="s">
        <v>61</v>
      </c>
      <c r="F9" s="274" t="s">
        <v>62</v>
      </c>
      <c r="G9" s="274" t="s">
        <v>63</v>
      </c>
      <c r="H9" s="274" t="s">
        <v>64</v>
      </c>
      <c r="I9" s="91"/>
      <c r="J9" s="31"/>
      <c r="K9" s="31"/>
    </row>
    <row r="10" spans="1:12" ht="15.75" thickBot="1" x14ac:dyDescent="0.35">
      <c r="A10" s="95">
        <v>1</v>
      </c>
      <c r="B10" s="96" t="s">
        <v>66</v>
      </c>
      <c r="C10" s="95">
        <v>2</v>
      </c>
      <c r="D10" s="95" t="s">
        <v>67</v>
      </c>
      <c r="E10" s="95" t="s">
        <v>68</v>
      </c>
      <c r="F10" s="95" t="s">
        <v>69</v>
      </c>
      <c r="G10" s="96" t="s">
        <v>70</v>
      </c>
      <c r="H10" s="266" t="s">
        <v>71</v>
      </c>
      <c r="I10" s="98"/>
      <c r="J10" s="35"/>
      <c r="K10" s="35"/>
    </row>
    <row r="11" spans="1:12" ht="15.75" thickBot="1" x14ac:dyDescent="0.35">
      <c r="A11" s="95">
        <f>A10+1</f>
        <v>2</v>
      </c>
      <c r="B11" s="96" t="s">
        <v>72</v>
      </c>
      <c r="C11" s="95">
        <v>20</v>
      </c>
      <c r="D11" s="95" t="s">
        <v>73</v>
      </c>
      <c r="E11" s="95" t="s">
        <v>68</v>
      </c>
      <c r="F11" s="95" t="s">
        <v>69</v>
      </c>
      <c r="G11" s="96" t="s">
        <v>74</v>
      </c>
      <c r="H11" s="95" t="s">
        <v>75</v>
      </c>
      <c r="I11" s="105"/>
      <c r="J11" s="35"/>
      <c r="K11" s="35"/>
    </row>
    <row r="12" spans="1:12" ht="34.5" thickBot="1" x14ac:dyDescent="0.25">
      <c r="A12" s="95">
        <f t="shared" ref="A12:A19" si="0">A11+1</f>
        <v>3</v>
      </c>
      <c r="B12" s="96" t="s">
        <v>76</v>
      </c>
      <c r="C12" s="95">
        <v>1</v>
      </c>
      <c r="D12" s="95" t="s">
        <v>73</v>
      </c>
      <c r="E12" s="95" t="s">
        <v>68</v>
      </c>
      <c r="F12" s="95" t="s">
        <v>69</v>
      </c>
      <c r="G12" s="96" t="s">
        <v>77</v>
      </c>
      <c r="H12" s="465" t="s">
        <v>78</v>
      </c>
      <c r="I12" s="105"/>
      <c r="J12" s="41"/>
      <c r="K12" s="41"/>
    </row>
    <row r="13" spans="1:12" s="29" customFormat="1" ht="15.75" thickBot="1" x14ac:dyDescent="0.35">
      <c r="A13" s="95">
        <f t="shared" si="0"/>
        <v>4</v>
      </c>
      <c r="B13" s="96" t="s">
        <v>79</v>
      </c>
      <c r="C13" s="95">
        <v>9</v>
      </c>
      <c r="D13" s="95" t="s">
        <v>67</v>
      </c>
      <c r="E13" s="95" t="s">
        <v>68</v>
      </c>
      <c r="F13" s="95" t="s">
        <v>69</v>
      </c>
      <c r="G13" s="96" t="s">
        <v>80</v>
      </c>
      <c r="H13" s="466"/>
      <c r="I13" s="105"/>
      <c r="J13" s="35"/>
      <c r="K13" s="35"/>
    </row>
    <row r="14" spans="1:12" ht="15.75" thickBot="1" x14ac:dyDescent="0.35">
      <c r="A14" s="95">
        <f t="shared" si="0"/>
        <v>5</v>
      </c>
      <c r="B14" s="96" t="s">
        <v>81</v>
      </c>
      <c r="C14" s="95">
        <v>17</v>
      </c>
      <c r="D14" s="95" t="s">
        <v>67</v>
      </c>
      <c r="E14" s="95" t="s">
        <v>68</v>
      </c>
      <c r="F14" s="95" t="s">
        <v>69</v>
      </c>
      <c r="G14" s="96" t="s">
        <v>82</v>
      </c>
      <c r="H14" s="267" t="s">
        <v>83</v>
      </c>
      <c r="I14" s="98"/>
      <c r="J14" s="35"/>
      <c r="K14" s="35"/>
    </row>
    <row r="15" spans="1:12" ht="34.5" thickBot="1" x14ac:dyDescent="0.35">
      <c r="A15" s="95">
        <f t="shared" si="0"/>
        <v>6</v>
      </c>
      <c r="B15" s="101" t="s">
        <v>84</v>
      </c>
      <c r="C15" s="102">
        <v>9</v>
      </c>
      <c r="D15" s="102" t="s">
        <v>67</v>
      </c>
      <c r="E15" s="102" t="s">
        <v>68</v>
      </c>
      <c r="F15" s="102" t="s">
        <v>69</v>
      </c>
      <c r="G15" s="101" t="s">
        <v>321</v>
      </c>
      <c r="H15" s="102">
        <v>123456789</v>
      </c>
      <c r="I15" s="98"/>
      <c r="J15" s="35"/>
      <c r="K15" s="35"/>
    </row>
    <row r="16" spans="1:12" ht="23.25" thickBot="1" x14ac:dyDescent="0.35">
      <c r="A16" s="95">
        <f t="shared" si="0"/>
        <v>7</v>
      </c>
      <c r="B16" s="96" t="s">
        <v>86</v>
      </c>
      <c r="C16" s="95">
        <v>8</v>
      </c>
      <c r="D16" s="95" t="s">
        <v>67</v>
      </c>
      <c r="E16" s="95" t="s">
        <v>68</v>
      </c>
      <c r="F16" s="95" t="s">
        <v>69</v>
      </c>
      <c r="G16" s="96" t="s">
        <v>87</v>
      </c>
      <c r="H16" s="268" t="s">
        <v>88</v>
      </c>
      <c r="I16" s="105"/>
      <c r="J16" s="35"/>
      <c r="K16" s="35"/>
    </row>
    <row r="17" spans="1:11" ht="23.25" thickBot="1" x14ac:dyDescent="0.35">
      <c r="A17" s="95">
        <f t="shared" si="0"/>
        <v>8</v>
      </c>
      <c r="B17" s="96" t="s">
        <v>89</v>
      </c>
      <c r="C17" s="95">
        <v>6</v>
      </c>
      <c r="D17" s="95" t="s">
        <v>67</v>
      </c>
      <c r="E17" s="95" t="s">
        <v>68</v>
      </c>
      <c r="F17" s="95" t="s">
        <v>69</v>
      </c>
      <c r="G17" s="96" t="s">
        <v>90</v>
      </c>
      <c r="H17" s="269" t="s">
        <v>91</v>
      </c>
      <c r="I17" s="98"/>
      <c r="J17" s="35"/>
      <c r="K17" s="35"/>
    </row>
    <row r="18" spans="1:11" ht="34.5" thickBot="1" x14ac:dyDescent="0.35">
      <c r="A18" s="95">
        <f t="shared" si="0"/>
        <v>9</v>
      </c>
      <c r="B18" s="96" t="s">
        <v>92</v>
      </c>
      <c r="C18" s="95">
        <v>17</v>
      </c>
      <c r="D18" s="95" t="s">
        <v>67</v>
      </c>
      <c r="E18" s="95">
        <v>2</v>
      </c>
      <c r="F18" s="95" t="s">
        <v>69</v>
      </c>
      <c r="G18" s="96" t="s">
        <v>322</v>
      </c>
      <c r="H18" s="269" t="s">
        <v>323</v>
      </c>
      <c r="I18" s="98"/>
      <c r="J18" s="35"/>
      <c r="K18" s="35"/>
    </row>
    <row r="19" spans="1:11" ht="15.75" thickBot="1" x14ac:dyDescent="0.35">
      <c r="A19" s="95">
        <f t="shared" si="0"/>
        <v>10</v>
      </c>
      <c r="B19" s="96" t="s">
        <v>95</v>
      </c>
      <c r="C19" s="95">
        <v>3</v>
      </c>
      <c r="D19" s="95" t="s">
        <v>67</v>
      </c>
      <c r="E19" s="95" t="s">
        <v>68</v>
      </c>
      <c r="F19" s="95" t="s">
        <v>69</v>
      </c>
      <c r="G19" s="96" t="s">
        <v>96</v>
      </c>
      <c r="H19" s="270" t="s">
        <v>21</v>
      </c>
      <c r="I19" s="105"/>
      <c r="J19" s="35"/>
      <c r="K19" s="35"/>
    </row>
    <row r="20" spans="1:11" ht="15.75" thickBot="1" x14ac:dyDescent="0.35">
      <c r="A20" s="95"/>
      <c r="B20" s="96" t="s">
        <v>97</v>
      </c>
      <c r="C20" s="95">
        <f>250-(SUM(C10:C19))</f>
        <v>158</v>
      </c>
      <c r="D20" s="95" t="s">
        <v>98</v>
      </c>
      <c r="E20" s="95" t="s">
        <v>98</v>
      </c>
      <c r="F20" s="95" t="s">
        <v>69</v>
      </c>
      <c r="G20" s="96" t="s">
        <v>99</v>
      </c>
      <c r="H20" s="271"/>
      <c r="I20" s="98"/>
      <c r="J20" s="35"/>
      <c r="K20" s="35"/>
    </row>
    <row r="21" spans="1:11" ht="16.5" customHeight="1" thickBot="1" x14ac:dyDescent="0.35">
      <c r="A21" s="467" t="s">
        <v>100</v>
      </c>
      <c r="B21" s="468"/>
      <c r="C21" s="468"/>
      <c r="D21" s="468"/>
      <c r="E21" s="468"/>
      <c r="F21" s="468"/>
      <c r="G21" s="468"/>
      <c r="H21" s="468"/>
      <c r="I21" s="469"/>
      <c r="J21" s="35"/>
      <c r="K21" s="35"/>
    </row>
    <row r="22" spans="1:11" ht="34.5" thickBot="1" x14ac:dyDescent="0.35">
      <c r="A22" s="95">
        <v>1</v>
      </c>
      <c r="B22" s="96" t="s">
        <v>101</v>
      </c>
      <c r="C22" s="95">
        <v>2</v>
      </c>
      <c r="D22" s="95" t="s">
        <v>73</v>
      </c>
      <c r="E22" s="95" t="s">
        <v>68</v>
      </c>
      <c r="F22" s="95" t="s">
        <v>69</v>
      </c>
      <c r="G22" s="96" t="s">
        <v>102</v>
      </c>
      <c r="H22" s="266" t="s">
        <v>103</v>
      </c>
      <c r="I22" s="98"/>
      <c r="J22" s="35"/>
      <c r="K22" s="35"/>
    </row>
    <row r="23" spans="1:11" ht="34.5" thickBot="1" x14ac:dyDescent="0.35">
      <c r="A23" s="95">
        <f t="shared" ref="A23:A36" si="1">A22+1</f>
        <v>2</v>
      </c>
      <c r="B23" s="96" t="s">
        <v>104</v>
      </c>
      <c r="C23" s="95">
        <v>1</v>
      </c>
      <c r="D23" s="95" t="s">
        <v>73</v>
      </c>
      <c r="E23" s="95" t="s">
        <v>68</v>
      </c>
      <c r="F23" s="95" t="s">
        <v>69</v>
      </c>
      <c r="G23" s="96" t="s">
        <v>77</v>
      </c>
      <c r="H23" s="465" t="s">
        <v>78</v>
      </c>
      <c r="I23" s="100"/>
      <c r="J23" s="35"/>
      <c r="K23" s="35"/>
    </row>
    <row r="24" spans="1:11" ht="23.25" thickBot="1" x14ac:dyDescent="0.35">
      <c r="A24" s="95">
        <f t="shared" si="1"/>
        <v>3</v>
      </c>
      <c r="B24" s="96" t="s">
        <v>105</v>
      </c>
      <c r="C24" s="95">
        <v>9</v>
      </c>
      <c r="D24" s="95" t="s">
        <v>67</v>
      </c>
      <c r="E24" s="95" t="s">
        <v>68</v>
      </c>
      <c r="F24" s="95" t="s">
        <v>69</v>
      </c>
      <c r="G24" s="96" t="s">
        <v>80</v>
      </c>
      <c r="H24" s="466"/>
      <c r="I24" s="100"/>
      <c r="J24" s="31"/>
      <c r="K24" s="31"/>
    </row>
    <row r="25" spans="1:11" ht="45.75" thickBot="1" x14ac:dyDescent="0.35">
      <c r="A25" s="95">
        <f t="shared" si="1"/>
        <v>4</v>
      </c>
      <c r="B25" s="101" t="s">
        <v>106</v>
      </c>
      <c r="C25" s="102">
        <v>60</v>
      </c>
      <c r="D25" s="102" t="s">
        <v>73</v>
      </c>
      <c r="E25" s="102" t="s">
        <v>68</v>
      </c>
      <c r="F25" s="102" t="s">
        <v>69</v>
      </c>
      <c r="G25" s="101" t="s">
        <v>107</v>
      </c>
      <c r="H25" s="102" t="s">
        <v>108</v>
      </c>
      <c r="I25" s="98"/>
      <c r="J25" s="50"/>
      <c r="K25" s="50"/>
    </row>
    <row r="26" spans="1:11" ht="34.5" thickBot="1" x14ac:dyDescent="0.35">
      <c r="A26" s="95">
        <f t="shared" si="1"/>
        <v>5</v>
      </c>
      <c r="B26" s="101" t="s">
        <v>109</v>
      </c>
      <c r="C26" s="102">
        <v>9</v>
      </c>
      <c r="D26" s="102" t="s">
        <v>67</v>
      </c>
      <c r="E26" s="102" t="s">
        <v>68</v>
      </c>
      <c r="F26" s="102" t="s">
        <v>126</v>
      </c>
      <c r="G26" s="101" t="s">
        <v>324</v>
      </c>
      <c r="H26" s="102">
        <v>123456789</v>
      </c>
      <c r="I26" s="105"/>
      <c r="J26" s="31"/>
      <c r="K26" s="31"/>
    </row>
    <row r="27" spans="1:11" ht="15.75" thickBot="1" x14ac:dyDescent="0.35">
      <c r="A27" s="95">
        <f t="shared" si="1"/>
        <v>6</v>
      </c>
      <c r="B27" s="101" t="s">
        <v>111</v>
      </c>
      <c r="C27" s="102">
        <v>30</v>
      </c>
      <c r="D27" s="102" t="s">
        <v>73</v>
      </c>
      <c r="E27" s="102" t="s">
        <v>68</v>
      </c>
      <c r="F27" s="102" t="s">
        <v>126</v>
      </c>
      <c r="G27" s="101" t="s">
        <v>54</v>
      </c>
      <c r="H27" s="102" t="s">
        <v>112</v>
      </c>
      <c r="I27" s="105"/>
      <c r="J27" s="31"/>
      <c r="K27" s="31"/>
    </row>
    <row r="28" spans="1:11" ht="68.25" thickBot="1" x14ac:dyDescent="0.35">
      <c r="A28" s="95">
        <f t="shared" si="1"/>
        <v>7</v>
      </c>
      <c r="B28" s="101" t="s">
        <v>113</v>
      </c>
      <c r="C28" s="102">
        <v>3</v>
      </c>
      <c r="D28" s="102" t="s">
        <v>73</v>
      </c>
      <c r="E28" s="102" t="s">
        <v>68</v>
      </c>
      <c r="F28" s="102" t="s">
        <v>69</v>
      </c>
      <c r="G28" s="101" t="s">
        <v>114</v>
      </c>
      <c r="H28" s="102" t="s">
        <v>23</v>
      </c>
      <c r="I28" s="98"/>
      <c r="J28" s="31"/>
      <c r="K28" s="31"/>
    </row>
    <row r="29" spans="1:11" ht="45.75" thickBot="1" x14ac:dyDescent="0.35">
      <c r="A29" s="95">
        <f t="shared" si="1"/>
        <v>8</v>
      </c>
      <c r="B29" s="101" t="s">
        <v>115</v>
      </c>
      <c r="C29" s="102">
        <v>20</v>
      </c>
      <c r="D29" s="102" t="s">
        <v>67</v>
      </c>
      <c r="E29" s="102" t="s">
        <v>68</v>
      </c>
      <c r="F29" s="102" t="s">
        <v>69</v>
      </c>
      <c r="G29" s="101" t="s">
        <v>116</v>
      </c>
      <c r="H29" s="101" t="s">
        <v>117</v>
      </c>
      <c r="I29" s="98"/>
      <c r="J29" s="31"/>
      <c r="K29" s="31"/>
    </row>
    <row r="30" spans="1:11" ht="15.75" thickBot="1" x14ac:dyDescent="0.35">
      <c r="A30" s="95">
        <f t="shared" si="1"/>
        <v>9</v>
      </c>
      <c r="B30" s="101" t="s">
        <v>118</v>
      </c>
      <c r="C30" s="102">
        <v>4</v>
      </c>
      <c r="D30" s="102" t="s">
        <v>67</v>
      </c>
      <c r="E30" s="102" t="s">
        <v>68</v>
      </c>
      <c r="F30" s="102" t="s">
        <v>69</v>
      </c>
      <c r="G30" s="101" t="s">
        <v>325</v>
      </c>
      <c r="H30" s="103" t="s">
        <v>120</v>
      </c>
      <c r="I30" s="98"/>
      <c r="J30" s="31"/>
      <c r="K30" s="31"/>
    </row>
    <row r="31" spans="1:11" ht="23.25" thickBot="1" x14ac:dyDescent="0.35">
      <c r="A31" s="95">
        <f t="shared" si="1"/>
        <v>10</v>
      </c>
      <c r="B31" s="101" t="s">
        <v>121</v>
      </c>
      <c r="C31" s="95">
        <v>8</v>
      </c>
      <c r="D31" s="95" t="s">
        <v>67</v>
      </c>
      <c r="E31" s="95" t="s">
        <v>68</v>
      </c>
      <c r="F31" s="95" t="s">
        <v>69</v>
      </c>
      <c r="G31" s="96" t="s">
        <v>122</v>
      </c>
      <c r="H31" s="268" t="s">
        <v>88</v>
      </c>
      <c r="I31" s="100"/>
      <c r="J31" s="31"/>
      <c r="K31" s="31"/>
    </row>
    <row r="32" spans="1:11" ht="34.5" thickBot="1" x14ac:dyDescent="0.25">
      <c r="A32" s="95">
        <f t="shared" si="1"/>
        <v>11</v>
      </c>
      <c r="B32" s="96" t="s">
        <v>123</v>
      </c>
      <c r="C32" s="95">
        <v>15</v>
      </c>
      <c r="D32" s="95" t="s">
        <v>67</v>
      </c>
      <c r="E32" s="95">
        <v>2</v>
      </c>
      <c r="F32" s="95" t="s">
        <v>69</v>
      </c>
      <c r="G32" s="96" t="s">
        <v>326</v>
      </c>
      <c r="H32" s="95">
        <v>1400075</v>
      </c>
      <c r="I32" s="98"/>
      <c r="J32" s="41"/>
      <c r="K32" s="41"/>
    </row>
    <row r="33" spans="1:11" s="29" customFormat="1" ht="15.75" thickBot="1" x14ac:dyDescent="0.35">
      <c r="A33" s="95">
        <f t="shared" si="1"/>
        <v>12</v>
      </c>
      <c r="B33" s="96" t="s">
        <v>95</v>
      </c>
      <c r="C33" s="95">
        <v>3</v>
      </c>
      <c r="D33" s="95" t="s">
        <v>67</v>
      </c>
      <c r="E33" s="95" t="s">
        <v>68</v>
      </c>
      <c r="F33" s="95" t="s">
        <v>69</v>
      </c>
      <c r="G33" s="96" t="s">
        <v>96</v>
      </c>
      <c r="H33" s="270" t="s">
        <v>21</v>
      </c>
      <c r="I33" s="98"/>
      <c r="J33" s="35"/>
      <c r="K33" s="35"/>
    </row>
    <row r="34" spans="1:11" ht="23.25" thickBot="1" x14ac:dyDescent="0.35">
      <c r="A34" s="95">
        <f t="shared" si="1"/>
        <v>13</v>
      </c>
      <c r="B34" s="96" t="s">
        <v>125</v>
      </c>
      <c r="C34" s="95">
        <v>15</v>
      </c>
      <c r="D34" s="95" t="s">
        <v>67</v>
      </c>
      <c r="E34" s="95">
        <v>2</v>
      </c>
      <c r="F34" s="95" t="s">
        <v>126</v>
      </c>
      <c r="G34" s="96" t="s">
        <v>327</v>
      </c>
      <c r="H34" s="269" t="s">
        <v>128</v>
      </c>
      <c r="I34" s="105"/>
      <c r="J34" s="35"/>
      <c r="K34" s="35"/>
    </row>
    <row r="35" spans="1:11" ht="15.75" thickBot="1" x14ac:dyDescent="0.35">
      <c r="A35" s="95">
        <f t="shared" si="1"/>
        <v>14</v>
      </c>
      <c r="B35" s="101" t="s">
        <v>129</v>
      </c>
      <c r="C35" s="102">
        <v>40</v>
      </c>
      <c r="D35" s="102" t="s">
        <v>73</v>
      </c>
      <c r="E35" s="102" t="s">
        <v>68</v>
      </c>
      <c r="F35" s="102" t="s">
        <v>126</v>
      </c>
      <c r="G35" s="101" t="s">
        <v>130</v>
      </c>
      <c r="H35" s="272" t="s">
        <v>131</v>
      </c>
      <c r="I35" s="105"/>
      <c r="J35" s="35"/>
      <c r="K35" s="35"/>
    </row>
    <row r="36" spans="1:11" ht="15.75" thickBot="1" x14ac:dyDescent="0.35">
      <c r="A36" s="95">
        <f t="shared" si="1"/>
        <v>15</v>
      </c>
      <c r="B36" s="96" t="s">
        <v>132</v>
      </c>
      <c r="C36" s="95">
        <v>11</v>
      </c>
      <c r="D36" s="95" t="s">
        <v>67</v>
      </c>
      <c r="E36" s="95" t="s">
        <v>68</v>
      </c>
      <c r="F36" s="95" t="s">
        <v>126</v>
      </c>
      <c r="G36" s="96" t="s">
        <v>133</v>
      </c>
      <c r="H36" s="267" t="s">
        <v>134</v>
      </c>
      <c r="I36" s="105"/>
      <c r="J36" s="35"/>
      <c r="K36" s="35"/>
    </row>
    <row r="37" spans="1:11" ht="15.75" thickBot="1" x14ac:dyDescent="0.35">
      <c r="A37" s="95"/>
      <c r="B37" s="96" t="s">
        <v>97</v>
      </c>
      <c r="C37" s="95">
        <f>250-(SUM(C22:C36))</f>
        <v>20</v>
      </c>
      <c r="D37" s="95" t="s">
        <v>98</v>
      </c>
      <c r="E37" s="95" t="s">
        <v>98</v>
      </c>
      <c r="F37" s="95" t="s">
        <v>69</v>
      </c>
      <c r="G37" s="96" t="s">
        <v>99</v>
      </c>
      <c r="H37" s="271"/>
      <c r="I37" s="98"/>
      <c r="J37" s="35"/>
      <c r="K37" s="35"/>
    </row>
    <row r="38" spans="1:11" ht="15.75" thickBot="1" x14ac:dyDescent="0.35">
      <c r="A38" s="92" t="s">
        <v>135</v>
      </c>
      <c r="B38" s="93"/>
      <c r="C38" s="93"/>
      <c r="D38" s="93"/>
      <c r="E38" s="93"/>
      <c r="F38" s="93"/>
      <c r="G38" s="93"/>
      <c r="H38" s="93"/>
      <c r="I38" s="94"/>
      <c r="J38" s="35"/>
      <c r="K38" s="35"/>
    </row>
    <row r="39" spans="1:11" ht="23.25" thickBot="1" x14ac:dyDescent="0.35">
      <c r="A39" s="95">
        <v>1</v>
      </c>
      <c r="B39" s="96" t="s">
        <v>136</v>
      </c>
      <c r="C39" s="95">
        <v>2</v>
      </c>
      <c r="D39" s="95" t="s">
        <v>73</v>
      </c>
      <c r="E39" s="95" t="s">
        <v>68</v>
      </c>
      <c r="F39" s="95" t="s">
        <v>126</v>
      </c>
      <c r="G39" s="96" t="s">
        <v>328</v>
      </c>
      <c r="H39" s="266" t="s">
        <v>138</v>
      </c>
      <c r="I39" s="126"/>
      <c r="J39" s="35"/>
      <c r="K39" s="35"/>
    </row>
    <row r="40" spans="1:11" ht="23.25" thickBot="1" x14ac:dyDescent="0.35">
      <c r="A40" s="102">
        <f>A39+1</f>
        <v>2</v>
      </c>
      <c r="B40" s="101" t="s">
        <v>139</v>
      </c>
      <c r="C40" s="102">
        <v>20</v>
      </c>
      <c r="D40" s="102" t="s">
        <v>73</v>
      </c>
      <c r="E40" s="102" t="s">
        <v>68</v>
      </c>
      <c r="F40" s="102" t="s">
        <v>126</v>
      </c>
      <c r="G40" s="101" t="s">
        <v>140</v>
      </c>
      <c r="H40" s="102" t="s">
        <v>141</v>
      </c>
      <c r="I40" s="126"/>
      <c r="J40" s="35"/>
      <c r="K40" s="35"/>
    </row>
    <row r="41" spans="1:11" ht="16.5" thickBot="1" x14ac:dyDescent="0.35">
      <c r="A41" s="102">
        <f>A40+1</f>
        <v>3</v>
      </c>
      <c r="B41" s="101" t="s">
        <v>142</v>
      </c>
      <c r="C41" s="102">
        <v>15</v>
      </c>
      <c r="D41" s="102" t="s">
        <v>73</v>
      </c>
      <c r="E41" s="102">
        <v>2</v>
      </c>
      <c r="F41" s="102" t="s">
        <v>126</v>
      </c>
      <c r="G41" s="101" t="s">
        <v>143</v>
      </c>
      <c r="H41" s="95">
        <v>1400075</v>
      </c>
      <c r="I41" s="126"/>
      <c r="J41" s="35"/>
      <c r="K41" s="35"/>
    </row>
    <row r="42" spans="1:11" ht="16.5" thickBot="1" x14ac:dyDescent="0.35">
      <c r="A42" s="102">
        <f>A41+1</f>
        <v>4</v>
      </c>
      <c r="B42" s="101" t="s">
        <v>95</v>
      </c>
      <c r="C42" s="95">
        <v>3</v>
      </c>
      <c r="D42" s="95" t="s">
        <v>67</v>
      </c>
      <c r="E42" s="95" t="s">
        <v>68</v>
      </c>
      <c r="F42" s="95" t="s">
        <v>126</v>
      </c>
      <c r="G42" s="96" t="s">
        <v>96</v>
      </c>
      <c r="H42" s="270" t="s">
        <v>21</v>
      </c>
      <c r="I42" s="126"/>
      <c r="J42" s="35"/>
      <c r="K42" s="35"/>
    </row>
    <row r="43" spans="1:11" ht="23.25" thickBot="1" x14ac:dyDescent="0.35">
      <c r="A43" s="102">
        <f>A42+1</f>
        <v>5</v>
      </c>
      <c r="B43" s="101" t="s">
        <v>144</v>
      </c>
      <c r="C43" s="102">
        <v>8</v>
      </c>
      <c r="D43" s="102" t="s">
        <v>67</v>
      </c>
      <c r="E43" s="102" t="s">
        <v>68</v>
      </c>
      <c r="F43" s="102" t="s">
        <v>126</v>
      </c>
      <c r="G43" s="101" t="s">
        <v>145</v>
      </c>
      <c r="H43" s="268" t="s">
        <v>146</v>
      </c>
      <c r="I43" s="126"/>
      <c r="J43" s="35"/>
      <c r="K43" s="35"/>
    </row>
    <row r="44" spans="1:11" ht="15.75" thickBot="1" x14ac:dyDescent="0.35">
      <c r="A44" s="102">
        <f>A43+1</f>
        <v>6</v>
      </c>
      <c r="B44" s="96" t="s">
        <v>125</v>
      </c>
      <c r="C44" s="95">
        <v>15</v>
      </c>
      <c r="D44" s="95" t="s">
        <v>67</v>
      </c>
      <c r="E44" s="95">
        <v>2</v>
      </c>
      <c r="F44" s="95" t="s">
        <v>126</v>
      </c>
      <c r="G44" s="96" t="s">
        <v>147</v>
      </c>
      <c r="H44" s="267" t="s">
        <v>128</v>
      </c>
      <c r="I44" s="105"/>
      <c r="J44" s="54"/>
      <c r="K44" s="54"/>
    </row>
    <row r="45" spans="1:11" ht="15.75" thickBot="1" x14ac:dyDescent="0.35">
      <c r="A45" s="95"/>
      <c r="B45" s="96" t="s">
        <v>97</v>
      </c>
      <c r="C45" s="95">
        <f>250-(SUM(C39:C44))</f>
        <v>187</v>
      </c>
      <c r="D45" s="95" t="s">
        <v>98</v>
      </c>
      <c r="E45" s="95" t="s">
        <v>98</v>
      </c>
      <c r="F45" s="95" t="s">
        <v>69</v>
      </c>
      <c r="G45" s="96" t="s">
        <v>99</v>
      </c>
      <c r="H45" s="271"/>
      <c r="I45" s="273"/>
      <c r="J45" s="54"/>
      <c r="K45" s="54"/>
    </row>
    <row r="46" spans="1:11" x14ac:dyDescent="0.2">
      <c r="J46" s="30"/>
      <c r="K46" s="30"/>
    </row>
    <row r="47" spans="1:11" s="31" customFormat="1" ht="15" x14ac:dyDescent="0.3">
      <c r="A47" s="35"/>
      <c r="B47" s="461"/>
      <c r="C47" s="461"/>
      <c r="D47" s="461"/>
      <c r="E47" s="41"/>
      <c r="F47" s="462"/>
      <c r="G47" s="462"/>
      <c r="H47" s="462"/>
      <c r="I47" s="462"/>
      <c r="J47" s="35"/>
      <c r="K47" s="35"/>
    </row>
    <row r="48" spans="1:11" s="31" customFormat="1" ht="15" x14ac:dyDescent="0.3">
      <c r="A48" s="35"/>
      <c r="B48" s="461"/>
      <c r="C48" s="461"/>
      <c r="D48" s="461"/>
      <c r="E48" s="41"/>
      <c r="F48" s="462"/>
      <c r="G48" s="462"/>
      <c r="H48" s="462"/>
      <c r="I48" s="462"/>
      <c r="J48" s="35"/>
      <c r="K48" s="35"/>
    </row>
    <row r="49" spans="1:11" s="31" customFormat="1" ht="20.25" x14ac:dyDescent="0.35">
      <c r="A49" s="453" t="s">
        <v>301</v>
      </c>
      <c r="B49" s="453"/>
      <c r="C49" s="453"/>
      <c r="D49" s="453"/>
      <c r="E49" s="453"/>
      <c r="F49" s="453"/>
      <c r="G49" s="453"/>
      <c r="H49" s="453"/>
      <c r="I49" s="453"/>
      <c r="J49" s="35"/>
      <c r="K49" s="35"/>
    </row>
    <row r="50" spans="1:11" s="31" customFormat="1" ht="15" x14ac:dyDescent="0.3">
      <c r="A50" s="452" t="s">
        <v>307</v>
      </c>
      <c r="B50" s="452"/>
      <c r="C50" s="452"/>
      <c r="D50" s="452"/>
      <c r="E50" s="452"/>
      <c r="F50" s="452"/>
      <c r="G50" s="452"/>
      <c r="H50" s="452"/>
      <c r="I50" s="452"/>
      <c r="J50" s="35"/>
      <c r="K50" s="35"/>
    </row>
    <row r="51" spans="1:11" s="31" customFormat="1" ht="15.75" thickBot="1" x14ac:dyDescent="0.35">
      <c r="A51" s="146"/>
      <c r="B51" s="146"/>
      <c r="C51" s="146"/>
      <c r="D51" s="146"/>
      <c r="E51" s="146"/>
      <c r="F51" s="146"/>
      <c r="G51" s="146"/>
      <c r="H51" s="146"/>
      <c r="I51" s="146"/>
      <c r="J51" s="35"/>
      <c r="K51" s="35"/>
    </row>
    <row r="52" spans="1:11" s="31" customFormat="1" ht="16.5" customHeight="1" thickBot="1" x14ac:dyDescent="0.35">
      <c r="A52" s="467" t="s">
        <v>329</v>
      </c>
      <c r="B52" s="468"/>
      <c r="C52" s="468"/>
      <c r="D52" s="468"/>
      <c r="E52" s="468"/>
      <c r="F52" s="468"/>
      <c r="G52" s="468"/>
      <c r="H52" s="468"/>
      <c r="I52" s="469"/>
      <c r="J52" s="35"/>
      <c r="K52" s="35"/>
    </row>
    <row r="53" spans="1:11" s="31" customFormat="1" ht="15.75" thickBot="1" x14ac:dyDescent="0.35">
      <c r="A53" s="89"/>
      <c r="B53" s="89" t="s">
        <v>58</v>
      </c>
      <c r="C53" s="89" t="s">
        <v>59</v>
      </c>
      <c r="D53" s="89" t="s">
        <v>60</v>
      </c>
      <c r="E53" s="89" t="s">
        <v>61</v>
      </c>
      <c r="F53" s="89" t="s">
        <v>62</v>
      </c>
      <c r="G53" s="89" t="s">
        <v>63</v>
      </c>
      <c r="H53" s="89" t="s">
        <v>64</v>
      </c>
      <c r="I53" s="91"/>
      <c r="J53" s="35"/>
      <c r="K53" s="35"/>
    </row>
    <row r="54" spans="1:11" s="31" customFormat="1" ht="15.75" thickBot="1" x14ac:dyDescent="0.35">
      <c r="A54" s="95">
        <v>1</v>
      </c>
      <c r="B54" s="96" t="s">
        <v>66</v>
      </c>
      <c r="C54" s="95">
        <v>2</v>
      </c>
      <c r="D54" s="95" t="s">
        <v>67</v>
      </c>
      <c r="E54" s="95" t="s">
        <v>68</v>
      </c>
      <c r="F54" s="95" t="s">
        <v>69</v>
      </c>
      <c r="G54" s="96" t="s">
        <v>70</v>
      </c>
      <c r="H54" s="266" t="s">
        <v>71</v>
      </c>
      <c r="I54" s="98"/>
      <c r="J54" s="35"/>
      <c r="K54" s="35"/>
    </row>
    <row r="55" spans="1:11" s="31" customFormat="1" ht="15.75" thickBot="1" x14ac:dyDescent="0.35">
      <c r="A55" s="95">
        <f t="shared" ref="A55:A66" si="2">A54+1</f>
        <v>2</v>
      </c>
      <c r="B55" s="96" t="s">
        <v>72</v>
      </c>
      <c r="C55" s="95">
        <v>20</v>
      </c>
      <c r="D55" s="95" t="s">
        <v>73</v>
      </c>
      <c r="E55" s="95" t="s">
        <v>68</v>
      </c>
      <c r="F55" s="95" t="s">
        <v>69</v>
      </c>
      <c r="G55" s="96" t="s">
        <v>74</v>
      </c>
      <c r="H55" s="95" t="s">
        <v>75</v>
      </c>
      <c r="I55" s="98"/>
      <c r="J55" s="35"/>
      <c r="K55" s="35"/>
    </row>
    <row r="56" spans="1:11" s="31" customFormat="1" ht="34.5" thickBot="1" x14ac:dyDescent="0.35">
      <c r="A56" s="95">
        <f t="shared" si="2"/>
        <v>3</v>
      </c>
      <c r="B56" s="96" t="s">
        <v>76</v>
      </c>
      <c r="C56" s="95">
        <v>1</v>
      </c>
      <c r="D56" s="95" t="s">
        <v>73</v>
      </c>
      <c r="E56" s="95" t="s">
        <v>68</v>
      </c>
      <c r="F56" s="95" t="s">
        <v>69</v>
      </c>
      <c r="G56" s="96" t="s">
        <v>77</v>
      </c>
      <c r="H56" s="465" t="s">
        <v>78</v>
      </c>
      <c r="I56" s="98"/>
      <c r="J56" s="35"/>
      <c r="K56" s="35"/>
    </row>
    <row r="57" spans="1:11" s="31" customFormat="1" ht="15.75" thickBot="1" x14ac:dyDescent="0.35">
      <c r="A57" s="95">
        <f t="shared" si="2"/>
        <v>4</v>
      </c>
      <c r="B57" s="96" t="s">
        <v>79</v>
      </c>
      <c r="C57" s="95">
        <v>9</v>
      </c>
      <c r="D57" s="95" t="s">
        <v>67</v>
      </c>
      <c r="E57" s="95" t="s">
        <v>68</v>
      </c>
      <c r="F57" s="95" t="s">
        <v>69</v>
      </c>
      <c r="G57" s="96" t="s">
        <v>80</v>
      </c>
      <c r="H57" s="466"/>
      <c r="I57" s="98"/>
      <c r="J57" s="35"/>
      <c r="K57" s="35"/>
    </row>
    <row r="58" spans="1:11" s="31" customFormat="1" ht="15.75" thickBot="1" x14ac:dyDescent="0.35">
      <c r="A58" s="95">
        <f t="shared" si="2"/>
        <v>5</v>
      </c>
      <c r="B58" s="96" t="s">
        <v>81</v>
      </c>
      <c r="C58" s="95">
        <v>17</v>
      </c>
      <c r="D58" s="95" t="s">
        <v>67</v>
      </c>
      <c r="E58" s="95" t="s">
        <v>68</v>
      </c>
      <c r="F58" s="95" t="s">
        <v>69</v>
      </c>
      <c r="G58" s="96" t="s">
        <v>82</v>
      </c>
      <c r="H58" s="267" t="s">
        <v>83</v>
      </c>
      <c r="I58" s="98"/>
      <c r="J58" s="35"/>
      <c r="K58" s="35"/>
    </row>
    <row r="59" spans="1:11" s="31" customFormat="1" ht="34.5" thickBot="1" x14ac:dyDescent="0.35">
      <c r="A59" s="95">
        <f t="shared" si="2"/>
        <v>6</v>
      </c>
      <c r="B59" s="101" t="s">
        <v>84</v>
      </c>
      <c r="C59" s="102">
        <v>9</v>
      </c>
      <c r="D59" s="102" t="s">
        <v>67</v>
      </c>
      <c r="E59" s="102" t="s">
        <v>68</v>
      </c>
      <c r="F59" s="102" t="s">
        <v>69</v>
      </c>
      <c r="G59" s="101" t="s">
        <v>321</v>
      </c>
      <c r="H59" s="102">
        <v>123456789</v>
      </c>
      <c r="I59" s="98"/>
      <c r="J59" s="35"/>
      <c r="K59" s="35"/>
    </row>
    <row r="60" spans="1:11" s="31" customFormat="1" ht="23.25" thickBot="1" x14ac:dyDescent="0.35">
      <c r="A60" s="95">
        <f t="shared" si="2"/>
        <v>7</v>
      </c>
      <c r="B60" s="96" t="s">
        <v>86</v>
      </c>
      <c r="C60" s="95">
        <v>8</v>
      </c>
      <c r="D60" s="95" t="s">
        <v>67</v>
      </c>
      <c r="E60" s="95" t="s">
        <v>68</v>
      </c>
      <c r="F60" s="95" t="s">
        <v>69</v>
      </c>
      <c r="G60" s="96" t="s">
        <v>87</v>
      </c>
      <c r="H60" s="268" t="s">
        <v>88</v>
      </c>
      <c r="I60" s="98"/>
      <c r="J60" s="35"/>
      <c r="K60" s="35"/>
    </row>
    <row r="61" spans="1:11" s="31" customFormat="1" ht="23.25" thickBot="1" x14ac:dyDescent="0.35">
      <c r="A61" s="95">
        <f t="shared" si="2"/>
        <v>8</v>
      </c>
      <c r="B61" s="96" t="s">
        <v>89</v>
      </c>
      <c r="C61" s="95">
        <v>6</v>
      </c>
      <c r="D61" s="95" t="s">
        <v>67</v>
      </c>
      <c r="E61" s="95" t="s">
        <v>68</v>
      </c>
      <c r="F61" s="95" t="s">
        <v>69</v>
      </c>
      <c r="G61" s="96" t="s">
        <v>90</v>
      </c>
      <c r="H61" s="269" t="s">
        <v>91</v>
      </c>
      <c r="I61" s="98"/>
    </row>
    <row r="62" spans="1:11" s="31" customFormat="1" ht="34.5" thickBot="1" x14ac:dyDescent="0.35">
      <c r="A62" s="95">
        <f t="shared" si="2"/>
        <v>9</v>
      </c>
      <c r="B62" s="96" t="s">
        <v>92</v>
      </c>
      <c r="C62" s="95">
        <v>17</v>
      </c>
      <c r="D62" s="95" t="s">
        <v>67</v>
      </c>
      <c r="E62" s="95">
        <v>2</v>
      </c>
      <c r="F62" s="95" t="s">
        <v>69</v>
      </c>
      <c r="G62" s="96" t="s">
        <v>322</v>
      </c>
      <c r="H62" s="269" t="s">
        <v>323</v>
      </c>
      <c r="I62" s="98"/>
      <c r="J62" s="50"/>
      <c r="K62" s="50"/>
    </row>
    <row r="63" spans="1:11" s="31" customFormat="1" ht="15.75" thickBot="1" x14ac:dyDescent="0.35">
      <c r="A63" s="95">
        <f t="shared" si="2"/>
        <v>10</v>
      </c>
      <c r="B63" s="96" t="s">
        <v>95</v>
      </c>
      <c r="C63" s="95">
        <v>3</v>
      </c>
      <c r="D63" s="95" t="s">
        <v>67</v>
      </c>
      <c r="E63" s="95" t="s">
        <v>68</v>
      </c>
      <c r="F63" s="95" t="s">
        <v>69</v>
      </c>
      <c r="G63" s="96" t="s">
        <v>96</v>
      </c>
      <c r="H63" s="270" t="s">
        <v>21</v>
      </c>
      <c r="I63" s="98"/>
    </row>
    <row r="64" spans="1:11" s="31" customFormat="1" ht="15.75" thickBot="1" x14ac:dyDescent="0.35">
      <c r="A64" s="95">
        <f t="shared" si="2"/>
        <v>11</v>
      </c>
      <c r="B64" s="116" t="s">
        <v>265</v>
      </c>
      <c r="C64" s="117">
        <v>2</v>
      </c>
      <c r="D64" s="117" t="s">
        <v>67</v>
      </c>
      <c r="E64" s="117" t="s">
        <v>68</v>
      </c>
      <c r="F64" s="117" t="s">
        <v>69</v>
      </c>
      <c r="G64" s="116" t="s">
        <v>266</v>
      </c>
      <c r="H64" s="270"/>
      <c r="I64" s="275"/>
    </row>
    <row r="65" spans="1:12" s="31" customFormat="1" ht="15.75" thickBot="1" x14ac:dyDescent="0.35">
      <c r="A65" s="95">
        <f t="shared" si="2"/>
        <v>12</v>
      </c>
      <c r="B65" s="116" t="s">
        <v>267</v>
      </c>
      <c r="C65" s="117">
        <v>20</v>
      </c>
      <c r="D65" s="117" t="s">
        <v>73</v>
      </c>
      <c r="E65" s="117" t="s">
        <v>68</v>
      </c>
      <c r="F65" s="117" t="s">
        <v>69</v>
      </c>
      <c r="G65" s="116" t="s">
        <v>266</v>
      </c>
      <c r="H65" s="270"/>
      <c r="I65" s="275"/>
    </row>
    <row r="66" spans="1:12" s="31" customFormat="1" ht="15.75" thickBot="1" x14ac:dyDescent="0.35">
      <c r="A66" s="95">
        <f t="shared" si="2"/>
        <v>13</v>
      </c>
      <c r="B66" s="116" t="s">
        <v>294</v>
      </c>
      <c r="C66" s="117">
        <v>9</v>
      </c>
      <c r="D66" s="117" t="s">
        <v>67</v>
      </c>
      <c r="E66" s="117" t="s">
        <v>68</v>
      </c>
      <c r="F66" s="117" t="s">
        <v>69</v>
      </c>
      <c r="G66" s="116" t="s">
        <v>266</v>
      </c>
      <c r="H66" s="270"/>
      <c r="I66" s="275"/>
    </row>
    <row r="67" spans="1:12" s="31" customFormat="1" ht="15.75" thickBot="1" x14ac:dyDescent="0.35">
      <c r="A67" s="95"/>
      <c r="B67" s="96" t="s">
        <v>97</v>
      </c>
      <c r="C67" s="95">
        <f>1000-(SUM(C54:C66))</f>
        <v>877</v>
      </c>
      <c r="D67" s="95" t="s">
        <v>98</v>
      </c>
      <c r="E67" s="95" t="s">
        <v>98</v>
      </c>
      <c r="F67" s="95" t="s">
        <v>69</v>
      </c>
      <c r="G67" s="96" t="s">
        <v>99</v>
      </c>
      <c r="H67" s="271"/>
      <c r="I67" s="98"/>
    </row>
    <row r="68" spans="1:12" s="31" customFormat="1" ht="15.75" thickBot="1" x14ac:dyDescent="0.35">
      <c r="A68" s="92" t="s">
        <v>330</v>
      </c>
      <c r="B68" s="93"/>
      <c r="C68" s="93"/>
      <c r="D68" s="93"/>
      <c r="E68" s="93"/>
      <c r="F68" s="93"/>
      <c r="G68" s="93"/>
      <c r="H68" s="93"/>
      <c r="I68" s="94"/>
      <c r="J68" s="35"/>
      <c r="K68" s="35"/>
      <c r="L68" s="35"/>
    </row>
    <row r="69" spans="1:12" s="31" customFormat="1" ht="34.5" thickBot="1" x14ac:dyDescent="0.35">
      <c r="A69" s="95">
        <v>1</v>
      </c>
      <c r="B69" s="96" t="s">
        <v>101</v>
      </c>
      <c r="C69" s="95">
        <v>2</v>
      </c>
      <c r="D69" s="95" t="s">
        <v>73</v>
      </c>
      <c r="E69" s="95" t="s">
        <v>68</v>
      </c>
      <c r="F69" s="95" t="s">
        <v>69</v>
      </c>
      <c r="G69" s="96" t="s">
        <v>102</v>
      </c>
      <c r="H69" s="266" t="s">
        <v>103</v>
      </c>
      <c r="I69" s="98"/>
      <c r="J69" s="58"/>
      <c r="K69" s="59"/>
      <c r="L69" s="35"/>
    </row>
    <row r="70" spans="1:12" s="31" customFormat="1" ht="34.5" thickBot="1" x14ac:dyDescent="0.35">
      <c r="A70" s="95">
        <f t="shared" ref="A70:A88" si="3">A69+1</f>
        <v>2</v>
      </c>
      <c r="B70" s="96" t="s">
        <v>104</v>
      </c>
      <c r="C70" s="95">
        <v>1</v>
      </c>
      <c r="D70" s="95" t="s">
        <v>73</v>
      </c>
      <c r="E70" s="95" t="s">
        <v>68</v>
      </c>
      <c r="F70" s="95" t="s">
        <v>69</v>
      </c>
      <c r="G70" s="96" t="s">
        <v>77</v>
      </c>
      <c r="H70" s="465" t="s">
        <v>78</v>
      </c>
      <c r="I70" s="100"/>
      <c r="J70" s="60"/>
      <c r="K70" s="60"/>
      <c r="L70" s="35"/>
    </row>
    <row r="71" spans="1:12" s="31" customFormat="1" ht="23.25" thickBot="1" x14ac:dyDescent="0.35">
      <c r="A71" s="95">
        <f t="shared" si="3"/>
        <v>3</v>
      </c>
      <c r="B71" s="96" t="s">
        <v>246</v>
      </c>
      <c r="C71" s="95">
        <v>9</v>
      </c>
      <c r="D71" s="95" t="s">
        <v>67</v>
      </c>
      <c r="E71" s="95" t="s">
        <v>68</v>
      </c>
      <c r="F71" s="95" t="s">
        <v>69</v>
      </c>
      <c r="G71" s="96" t="s">
        <v>80</v>
      </c>
      <c r="H71" s="466"/>
      <c r="I71" s="100"/>
      <c r="J71" s="35"/>
      <c r="K71" s="35"/>
      <c r="L71" s="35"/>
    </row>
    <row r="72" spans="1:12" s="31" customFormat="1" ht="45.75" thickBot="1" x14ac:dyDescent="0.35">
      <c r="A72" s="95">
        <f t="shared" si="3"/>
        <v>4</v>
      </c>
      <c r="B72" s="101" t="s">
        <v>106</v>
      </c>
      <c r="C72" s="102">
        <v>60</v>
      </c>
      <c r="D72" s="102" t="s">
        <v>73</v>
      </c>
      <c r="E72" s="102" t="s">
        <v>68</v>
      </c>
      <c r="F72" s="102" t="s">
        <v>69</v>
      </c>
      <c r="G72" s="101" t="s">
        <v>107</v>
      </c>
      <c r="H72" s="102" t="s">
        <v>108</v>
      </c>
      <c r="I72" s="98"/>
      <c r="J72" s="35"/>
      <c r="K72" s="35"/>
      <c r="L72" s="35"/>
    </row>
    <row r="73" spans="1:12" s="31" customFormat="1" ht="34.5" thickBot="1" x14ac:dyDescent="0.35">
      <c r="A73" s="95">
        <f t="shared" si="3"/>
        <v>5</v>
      </c>
      <c r="B73" s="101" t="s">
        <v>109</v>
      </c>
      <c r="C73" s="102">
        <v>9</v>
      </c>
      <c r="D73" s="102" t="s">
        <v>67</v>
      </c>
      <c r="E73" s="102" t="s">
        <v>68</v>
      </c>
      <c r="F73" s="102" t="s">
        <v>69</v>
      </c>
      <c r="G73" s="101" t="s">
        <v>324</v>
      </c>
      <c r="H73" s="102">
        <v>123456789</v>
      </c>
      <c r="I73" s="98"/>
      <c r="J73" s="35"/>
      <c r="K73" s="35"/>
      <c r="L73" s="35"/>
    </row>
    <row r="74" spans="1:12" s="31" customFormat="1" ht="15.75" thickBot="1" x14ac:dyDescent="0.35">
      <c r="A74" s="95">
        <f t="shared" si="3"/>
        <v>6</v>
      </c>
      <c r="B74" s="101" t="s">
        <v>111</v>
      </c>
      <c r="C74" s="102">
        <v>30</v>
      </c>
      <c r="D74" s="102" t="s">
        <v>73</v>
      </c>
      <c r="E74" s="102" t="s">
        <v>68</v>
      </c>
      <c r="F74" s="102" t="s">
        <v>69</v>
      </c>
      <c r="G74" s="101" t="s">
        <v>54</v>
      </c>
      <c r="H74" s="102" t="s">
        <v>112</v>
      </c>
      <c r="I74" s="98"/>
      <c r="J74" s="35"/>
      <c r="K74" s="35"/>
      <c r="L74" s="35"/>
    </row>
    <row r="75" spans="1:12" s="31" customFormat="1" ht="68.25" thickBot="1" x14ac:dyDescent="0.35">
      <c r="A75" s="95">
        <f t="shared" si="3"/>
        <v>7</v>
      </c>
      <c r="B75" s="101" t="s">
        <v>113</v>
      </c>
      <c r="C75" s="102">
        <v>3</v>
      </c>
      <c r="D75" s="102" t="s">
        <v>73</v>
      </c>
      <c r="E75" s="102" t="s">
        <v>68</v>
      </c>
      <c r="F75" s="102" t="s">
        <v>69</v>
      </c>
      <c r="G75" s="101" t="s">
        <v>114</v>
      </c>
      <c r="H75" s="102" t="s">
        <v>23</v>
      </c>
      <c r="I75" s="98"/>
      <c r="J75" s="35"/>
      <c r="K75" s="35"/>
      <c r="L75" s="35"/>
    </row>
    <row r="76" spans="1:12" s="31" customFormat="1" ht="45.75" thickBot="1" x14ac:dyDescent="0.35">
      <c r="A76" s="95">
        <f t="shared" si="3"/>
        <v>8</v>
      </c>
      <c r="B76" s="101" t="s">
        <v>115</v>
      </c>
      <c r="C76" s="102">
        <v>20</v>
      </c>
      <c r="D76" s="102" t="s">
        <v>67</v>
      </c>
      <c r="E76" s="102" t="s">
        <v>68</v>
      </c>
      <c r="F76" s="102" t="s">
        <v>69</v>
      </c>
      <c r="G76" s="101" t="s">
        <v>116</v>
      </c>
      <c r="H76" s="101" t="s">
        <v>117</v>
      </c>
      <c r="I76" s="98"/>
      <c r="J76" s="35"/>
      <c r="K76" s="35"/>
      <c r="L76" s="35"/>
    </row>
    <row r="77" spans="1:12" s="31" customFormat="1" ht="15.75" thickBot="1" x14ac:dyDescent="0.35">
      <c r="A77" s="95">
        <f t="shared" si="3"/>
        <v>9</v>
      </c>
      <c r="B77" s="101" t="s">
        <v>118</v>
      </c>
      <c r="C77" s="102">
        <v>4</v>
      </c>
      <c r="D77" s="102" t="s">
        <v>67</v>
      </c>
      <c r="E77" s="102" t="s">
        <v>68</v>
      </c>
      <c r="F77" s="102" t="s">
        <v>69</v>
      </c>
      <c r="G77" s="101" t="s">
        <v>119</v>
      </c>
      <c r="H77" s="103" t="s">
        <v>120</v>
      </c>
      <c r="I77" s="98"/>
      <c r="J77" s="35"/>
      <c r="K77" s="35"/>
      <c r="L77" s="35"/>
    </row>
    <row r="78" spans="1:12" s="31" customFormat="1" ht="23.25" thickBot="1" x14ac:dyDescent="0.35">
      <c r="A78" s="95">
        <f t="shared" si="3"/>
        <v>10</v>
      </c>
      <c r="B78" s="101" t="s">
        <v>121</v>
      </c>
      <c r="C78" s="95">
        <v>8</v>
      </c>
      <c r="D78" s="95" t="s">
        <v>67</v>
      </c>
      <c r="E78" s="95" t="s">
        <v>68</v>
      </c>
      <c r="F78" s="95" t="s">
        <v>69</v>
      </c>
      <c r="G78" s="96" t="s">
        <v>122</v>
      </c>
      <c r="H78" s="268" t="s">
        <v>88</v>
      </c>
      <c r="I78" s="100"/>
      <c r="J78" s="35"/>
      <c r="K78" s="35"/>
      <c r="L78" s="35"/>
    </row>
    <row r="79" spans="1:12" s="31" customFormat="1" ht="34.5" thickBot="1" x14ac:dyDescent="0.35">
      <c r="A79" s="95">
        <f t="shared" si="3"/>
        <v>11</v>
      </c>
      <c r="B79" s="96" t="s">
        <v>123</v>
      </c>
      <c r="C79" s="95">
        <v>15</v>
      </c>
      <c r="D79" s="95" t="s">
        <v>67</v>
      </c>
      <c r="E79" s="95">
        <v>2</v>
      </c>
      <c r="F79" s="95" t="s">
        <v>69</v>
      </c>
      <c r="G79" s="96" t="s">
        <v>326</v>
      </c>
      <c r="H79" s="95">
        <v>1400075</v>
      </c>
      <c r="I79" s="98"/>
      <c r="J79" s="35"/>
      <c r="K79" s="35"/>
      <c r="L79" s="35"/>
    </row>
    <row r="80" spans="1:12" s="31" customFormat="1" ht="15.75" thickBot="1" x14ac:dyDescent="0.35">
      <c r="A80" s="95">
        <f t="shared" si="3"/>
        <v>12</v>
      </c>
      <c r="B80" s="96" t="s">
        <v>95</v>
      </c>
      <c r="C80" s="95">
        <v>3</v>
      </c>
      <c r="D80" s="95" t="s">
        <v>67</v>
      </c>
      <c r="E80" s="95" t="s">
        <v>68</v>
      </c>
      <c r="F80" s="95" t="s">
        <v>69</v>
      </c>
      <c r="G80" s="96" t="s">
        <v>96</v>
      </c>
      <c r="H80" s="270" t="s">
        <v>21</v>
      </c>
      <c r="I80" s="98"/>
      <c r="J80" s="35"/>
      <c r="K80" s="35"/>
      <c r="L80" s="35"/>
    </row>
    <row r="81" spans="1:12" s="31" customFormat="1" ht="23.25" thickBot="1" x14ac:dyDescent="0.35">
      <c r="A81" s="95">
        <f t="shared" si="3"/>
        <v>13</v>
      </c>
      <c r="B81" s="96" t="s">
        <v>125</v>
      </c>
      <c r="C81" s="95">
        <v>15</v>
      </c>
      <c r="D81" s="95" t="s">
        <v>67</v>
      </c>
      <c r="E81" s="95">
        <v>2</v>
      </c>
      <c r="F81" s="95" t="s">
        <v>126</v>
      </c>
      <c r="G81" s="96" t="s">
        <v>127</v>
      </c>
      <c r="H81" s="269" t="s">
        <v>128</v>
      </c>
      <c r="I81" s="98"/>
      <c r="J81" s="35"/>
      <c r="K81" s="35"/>
      <c r="L81" s="35"/>
    </row>
    <row r="82" spans="1:12" s="31" customFormat="1" ht="15.75" thickBot="1" x14ac:dyDescent="0.35">
      <c r="A82" s="95">
        <f t="shared" si="3"/>
        <v>14</v>
      </c>
      <c r="B82" s="101" t="s">
        <v>129</v>
      </c>
      <c r="C82" s="102">
        <v>40</v>
      </c>
      <c r="D82" s="102" t="s">
        <v>73</v>
      </c>
      <c r="E82" s="102" t="s">
        <v>68</v>
      </c>
      <c r="F82" s="102" t="s">
        <v>126</v>
      </c>
      <c r="G82" s="101" t="s">
        <v>130</v>
      </c>
      <c r="H82" s="272" t="s">
        <v>131</v>
      </c>
      <c r="I82" s="98"/>
      <c r="J82" s="35"/>
      <c r="K82" s="35"/>
      <c r="L82" s="35"/>
    </row>
    <row r="83" spans="1:12" s="31" customFormat="1" ht="15.75" thickBot="1" x14ac:dyDescent="0.35">
      <c r="A83" s="95">
        <f t="shared" si="3"/>
        <v>15</v>
      </c>
      <c r="B83" s="96" t="s">
        <v>132</v>
      </c>
      <c r="C83" s="95">
        <v>11</v>
      </c>
      <c r="D83" s="95" t="s">
        <v>67</v>
      </c>
      <c r="E83" s="95" t="s">
        <v>68</v>
      </c>
      <c r="F83" s="95" t="s">
        <v>126</v>
      </c>
      <c r="G83" s="96" t="s">
        <v>133</v>
      </c>
      <c r="H83" s="267" t="s">
        <v>134</v>
      </c>
      <c r="I83" s="98"/>
      <c r="J83" s="35"/>
      <c r="K83" s="35"/>
      <c r="L83" s="35"/>
    </row>
    <row r="84" spans="1:12" s="31" customFormat="1" ht="23.25" thickBot="1" x14ac:dyDescent="0.35">
      <c r="A84" s="95">
        <f t="shared" si="3"/>
        <v>16</v>
      </c>
      <c r="B84" s="116" t="s">
        <v>296</v>
      </c>
      <c r="C84" s="117">
        <v>8</v>
      </c>
      <c r="D84" s="117" t="s">
        <v>67</v>
      </c>
      <c r="E84" s="117" t="s">
        <v>68</v>
      </c>
      <c r="F84" s="117" t="s">
        <v>69</v>
      </c>
      <c r="G84" s="116" t="s">
        <v>297</v>
      </c>
      <c r="H84" s="275"/>
      <c r="I84" s="275"/>
      <c r="J84" s="35"/>
      <c r="K84" s="35"/>
      <c r="L84" s="35"/>
    </row>
    <row r="85" spans="1:12" s="31" customFormat="1" ht="15.75" thickBot="1" x14ac:dyDescent="0.35">
      <c r="A85" s="95">
        <f t="shared" si="3"/>
        <v>17</v>
      </c>
      <c r="B85" s="116" t="s">
        <v>265</v>
      </c>
      <c r="C85" s="117">
        <v>2</v>
      </c>
      <c r="D85" s="117" t="s">
        <v>67</v>
      </c>
      <c r="E85" s="117" t="s">
        <v>68</v>
      </c>
      <c r="F85" s="117" t="s">
        <v>69</v>
      </c>
      <c r="G85" s="116" t="s">
        <v>266</v>
      </c>
      <c r="H85" s="275"/>
      <c r="I85" s="275"/>
      <c r="J85" s="35"/>
      <c r="K85" s="35"/>
      <c r="L85" s="35"/>
    </row>
    <row r="86" spans="1:12" s="31" customFormat="1" ht="15.75" thickBot="1" x14ac:dyDescent="0.35">
      <c r="A86" s="95">
        <f t="shared" si="3"/>
        <v>18</v>
      </c>
      <c r="B86" s="116" t="s">
        <v>267</v>
      </c>
      <c r="C86" s="117">
        <v>30</v>
      </c>
      <c r="D86" s="117" t="s">
        <v>73</v>
      </c>
      <c r="E86" s="117" t="s">
        <v>68</v>
      </c>
      <c r="F86" s="117" t="s">
        <v>69</v>
      </c>
      <c r="G86" s="116" t="s">
        <v>266</v>
      </c>
      <c r="H86" s="275"/>
      <c r="I86" s="275"/>
      <c r="J86" s="35"/>
      <c r="K86" s="35"/>
      <c r="L86" s="35"/>
    </row>
    <row r="87" spans="1:12" s="31" customFormat="1" ht="15.75" thickBot="1" x14ac:dyDescent="0.35">
      <c r="A87" s="95">
        <f t="shared" si="3"/>
        <v>19</v>
      </c>
      <c r="B87" s="116" t="s">
        <v>298</v>
      </c>
      <c r="C87" s="117">
        <v>2</v>
      </c>
      <c r="D87" s="117" t="s">
        <v>67</v>
      </c>
      <c r="E87" s="117" t="s">
        <v>68</v>
      </c>
      <c r="F87" s="117" t="s">
        <v>299</v>
      </c>
      <c r="G87" s="116" t="s">
        <v>266</v>
      </c>
      <c r="H87" s="276"/>
      <c r="I87" s="275"/>
    </row>
    <row r="88" spans="1:12" s="31" customFormat="1" ht="16.5" thickBot="1" x14ac:dyDescent="0.35">
      <c r="A88" s="95">
        <f t="shared" si="3"/>
        <v>20</v>
      </c>
      <c r="B88" s="277" t="s">
        <v>300</v>
      </c>
      <c r="C88" s="278">
        <v>30</v>
      </c>
      <c r="D88" s="278" t="s">
        <v>73</v>
      </c>
      <c r="E88" s="278" t="s">
        <v>68</v>
      </c>
      <c r="F88" s="278" t="s">
        <v>299</v>
      </c>
      <c r="G88" s="277" t="s">
        <v>266</v>
      </c>
      <c r="H88" s="279" t="s">
        <v>98</v>
      </c>
      <c r="I88" s="275"/>
    </row>
    <row r="89" spans="1:12" s="31" customFormat="1" ht="15.75" thickBot="1" x14ac:dyDescent="0.35">
      <c r="A89" s="280"/>
      <c r="B89" s="96" t="s">
        <v>97</v>
      </c>
      <c r="C89" s="95">
        <f>1000-SUM(C69:C88)</f>
        <v>698</v>
      </c>
      <c r="D89" s="96"/>
      <c r="E89" s="96"/>
      <c r="F89" s="95" t="s">
        <v>69</v>
      </c>
      <c r="G89" s="96" t="s">
        <v>99</v>
      </c>
      <c r="H89" s="96"/>
      <c r="I89" s="96"/>
    </row>
    <row r="90" spans="1:12" s="31" customFormat="1" ht="15.75" thickBot="1" x14ac:dyDescent="0.35">
      <c r="A90" s="92" t="s">
        <v>331</v>
      </c>
      <c r="B90" s="93"/>
      <c r="C90" s="93"/>
      <c r="D90" s="93"/>
      <c r="E90" s="93"/>
      <c r="F90" s="93"/>
      <c r="G90" s="93"/>
      <c r="H90" s="93"/>
      <c r="I90" s="94"/>
    </row>
    <row r="91" spans="1:12" s="31" customFormat="1" ht="23.25" thickBot="1" x14ac:dyDescent="0.35">
      <c r="A91" s="95">
        <v>1</v>
      </c>
      <c r="B91" s="96" t="s">
        <v>136</v>
      </c>
      <c r="C91" s="95">
        <v>2</v>
      </c>
      <c r="D91" s="95" t="s">
        <v>73</v>
      </c>
      <c r="E91" s="95" t="s">
        <v>68</v>
      </c>
      <c r="F91" s="95" t="s">
        <v>69</v>
      </c>
      <c r="G91" s="96" t="s">
        <v>137</v>
      </c>
      <c r="H91" s="266" t="s">
        <v>138</v>
      </c>
      <c r="I91" s="98"/>
    </row>
    <row r="92" spans="1:12" s="31" customFormat="1" ht="23.25" thickBot="1" x14ac:dyDescent="0.35">
      <c r="A92" s="102">
        <f>A91+1</f>
        <v>2</v>
      </c>
      <c r="B92" s="101" t="s">
        <v>139</v>
      </c>
      <c r="C92" s="102">
        <v>20</v>
      </c>
      <c r="D92" s="102" t="s">
        <v>73</v>
      </c>
      <c r="E92" s="102" t="s">
        <v>68</v>
      </c>
      <c r="F92" s="102" t="s">
        <v>69</v>
      </c>
      <c r="G92" s="101" t="s">
        <v>140</v>
      </c>
      <c r="H92" s="102" t="s">
        <v>141</v>
      </c>
      <c r="I92" s="98"/>
    </row>
    <row r="93" spans="1:12" s="31" customFormat="1" ht="15.75" thickBot="1" x14ac:dyDescent="0.35">
      <c r="A93" s="102">
        <f>A92+1</f>
        <v>3</v>
      </c>
      <c r="B93" s="101" t="s">
        <v>142</v>
      </c>
      <c r="C93" s="102">
        <v>15</v>
      </c>
      <c r="D93" s="102" t="s">
        <v>73</v>
      </c>
      <c r="E93" s="102">
        <v>2</v>
      </c>
      <c r="F93" s="102" t="s">
        <v>69</v>
      </c>
      <c r="G93" s="101" t="s">
        <v>143</v>
      </c>
      <c r="H93" s="95">
        <v>1400075</v>
      </c>
      <c r="I93" s="98"/>
    </row>
    <row r="94" spans="1:12" s="31" customFormat="1" ht="15.75" thickBot="1" x14ac:dyDescent="0.35">
      <c r="A94" s="102">
        <f>A93+1</f>
        <v>4</v>
      </c>
      <c r="B94" s="101" t="s">
        <v>95</v>
      </c>
      <c r="C94" s="95">
        <v>3</v>
      </c>
      <c r="D94" s="95" t="s">
        <v>67</v>
      </c>
      <c r="E94" s="95" t="s">
        <v>68</v>
      </c>
      <c r="F94" s="95" t="s">
        <v>69</v>
      </c>
      <c r="G94" s="96" t="s">
        <v>96</v>
      </c>
      <c r="H94" s="270" t="s">
        <v>21</v>
      </c>
      <c r="I94" s="98"/>
    </row>
    <row r="95" spans="1:12" s="31" customFormat="1" ht="23.25" thickBot="1" x14ac:dyDescent="0.35">
      <c r="A95" s="102">
        <f>A94+1</f>
        <v>5</v>
      </c>
      <c r="B95" s="101" t="s">
        <v>144</v>
      </c>
      <c r="C95" s="102">
        <v>8</v>
      </c>
      <c r="D95" s="102" t="s">
        <v>67</v>
      </c>
      <c r="E95" s="102" t="s">
        <v>68</v>
      </c>
      <c r="F95" s="102" t="s">
        <v>69</v>
      </c>
      <c r="G95" s="101" t="s">
        <v>145</v>
      </c>
      <c r="H95" s="268" t="s">
        <v>146</v>
      </c>
      <c r="I95" s="98"/>
    </row>
    <row r="96" spans="1:12" s="31" customFormat="1" ht="15.75" thickBot="1" x14ac:dyDescent="0.35">
      <c r="A96" s="102">
        <f>A95+1</f>
        <v>6</v>
      </c>
      <c r="B96" s="96" t="s">
        <v>125</v>
      </c>
      <c r="C96" s="95">
        <v>15</v>
      </c>
      <c r="D96" s="95" t="s">
        <v>67</v>
      </c>
      <c r="E96" s="95">
        <v>2</v>
      </c>
      <c r="F96" s="95" t="s">
        <v>126</v>
      </c>
      <c r="G96" s="96" t="s">
        <v>147</v>
      </c>
      <c r="H96" s="281" t="s">
        <v>128</v>
      </c>
      <c r="I96" s="98"/>
    </row>
    <row r="97" spans="1:9" s="31" customFormat="1" ht="15.75" thickBot="1" x14ac:dyDescent="0.35">
      <c r="A97" s="95"/>
      <c r="B97" s="96" t="s">
        <v>97</v>
      </c>
      <c r="C97" s="95">
        <f>1000-(SUM(C91:C96))</f>
        <v>937</v>
      </c>
      <c r="D97" s="95" t="s">
        <v>98</v>
      </c>
      <c r="E97" s="95" t="s">
        <v>98</v>
      </c>
      <c r="F97" s="95" t="s">
        <v>69</v>
      </c>
      <c r="G97" s="96" t="s">
        <v>99</v>
      </c>
      <c r="H97" s="271"/>
      <c r="I97" s="273"/>
    </row>
    <row r="98" spans="1:9" s="31" customFormat="1" ht="16.5" x14ac:dyDescent="0.3">
      <c r="A98" s="177"/>
      <c r="B98" s="176" t="s">
        <v>148</v>
      </c>
      <c r="C98" s="177"/>
      <c r="D98" s="177"/>
      <c r="E98" s="177"/>
      <c r="F98" s="177"/>
      <c r="G98" s="178"/>
      <c r="H98" s="178"/>
      <c r="I98" s="178"/>
    </row>
    <row r="99" spans="1:9" s="31" customFormat="1" ht="16.5" x14ac:dyDescent="0.3">
      <c r="A99" s="177"/>
      <c r="B99" s="176" t="s">
        <v>149</v>
      </c>
      <c r="C99" s="177"/>
      <c r="D99" s="177"/>
      <c r="E99" s="177"/>
      <c r="F99" s="177"/>
      <c r="G99" s="178"/>
      <c r="H99" s="178"/>
      <c r="I99" s="178"/>
    </row>
    <row r="100" spans="1:9" s="31" customFormat="1" ht="16.5" x14ac:dyDescent="0.3">
      <c r="A100" s="178"/>
      <c r="B100" s="178"/>
      <c r="C100" s="178"/>
      <c r="D100" s="178"/>
      <c r="E100" s="178"/>
      <c r="F100" s="178"/>
      <c r="G100" s="178"/>
      <c r="H100" s="178"/>
      <c r="I100" s="178"/>
    </row>
    <row r="101" spans="1:9" s="31" customFormat="1" ht="17.25" thickBot="1" x14ac:dyDescent="0.35">
      <c r="A101" s="179" t="s">
        <v>158</v>
      </c>
      <c r="B101" s="180"/>
      <c r="C101" s="180"/>
      <c r="D101" s="180"/>
      <c r="E101" s="180"/>
      <c r="F101" s="180"/>
      <c r="G101" s="180"/>
      <c r="H101" s="285"/>
      <c r="I101" s="284"/>
    </row>
    <row r="102" spans="1:9" s="31" customFormat="1" ht="16.5" thickBot="1" x14ac:dyDescent="0.35">
      <c r="A102" s="283" t="s">
        <v>332</v>
      </c>
      <c r="B102" s="124"/>
      <c r="C102" s="124"/>
      <c r="D102" s="124"/>
      <c r="E102" s="124"/>
      <c r="F102" s="124"/>
      <c r="G102" s="124"/>
      <c r="H102" s="282"/>
      <c r="I102" s="275"/>
    </row>
    <row r="103" spans="1:9" s="31" customFormat="1" ht="15" x14ac:dyDescent="0.3">
      <c r="A103" s="451" t="s">
        <v>150</v>
      </c>
      <c r="B103" s="451"/>
      <c r="C103" s="451"/>
      <c r="D103" s="451"/>
      <c r="E103" s="451"/>
      <c r="F103" s="451"/>
      <c r="G103" s="451"/>
      <c r="H103" s="451"/>
      <c r="I103" s="451"/>
    </row>
    <row r="104" spans="1:9" s="31" customFormat="1" ht="16.5" x14ac:dyDescent="0.3">
      <c r="A104" s="178"/>
      <c r="B104" s="183" t="s">
        <v>151</v>
      </c>
      <c r="C104" s="184"/>
      <c r="D104" s="184"/>
      <c r="E104" s="184"/>
      <c r="F104" s="184"/>
      <c r="G104" s="185"/>
      <c r="H104" s="185"/>
      <c r="I104" s="178"/>
    </row>
    <row r="105" spans="1:9" s="31" customFormat="1" ht="16.5" x14ac:dyDescent="0.3">
      <c r="A105" s="186"/>
      <c r="B105" s="183" t="s">
        <v>152</v>
      </c>
      <c r="C105" s="184"/>
      <c r="D105" s="184"/>
      <c r="E105" s="184"/>
      <c r="F105" s="184"/>
      <c r="G105" s="185"/>
      <c r="H105" s="185"/>
      <c r="I105" s="178"/>
    </row>
    <row r="106" spans="1:9" s="31" customFormat="1" ht="16.5" x14ac:dyDescent="0.3">
      <c r="A106" s="178"/>
      <c r="B106" s="183" t="s">
        <v>153</v>
      </c>
      <c r="C106" s="184"/>
      <c r="D106" s="184"/>
      <c r="E106" s="184"/>
      <c r="F106" s="184"/>
      <c r="G106" s="185"/>
      <c r="H106" s="185"/>
      <c r="I106" s="178"/>
    </row>
    <row r="107" spans="1:9" s="31" customFormat="1" ht="16.5" x14ac:dyDescent="0.3">
      <c r="A107" s="178"/>
      <c r="B107" s="183" t="s">
        <v>154</v>
      </c>
      <c r="C107" s="184"/>
      <c r="D107" s="184"/>
      <c r="E107" s="184"/>
      <c r="F107" s="184"/>
      <c r="G107" s="185"/>
      <c r="H107" s="185"/>
      <c r="I107" s="178"/>
    </row>
    <row r="108" spans="1:9" s="31" customFormat="1" ht="16.5" x14ac:dyDescent="0.3">
      <c r="A108" s="178"/>
      <c r="B108" s="187" t="s">
        <v>155</v>
      </c>
      <c r="C108" s="184"/>
      <c r="D108" s="184"/>
      <c r="E108" s="184"/>
      <c r="F108" s="184"/>
      <c r="G108" s="185"/>
      <c r="H108" s="185"/>
      <c r="I108" s="178"/>
    </row>
    <row r="109" spans="1:9" s="31" customFormat="1" ht="16.5" x14ac:dyDescent="0.3">
      <c r="A109" s="178"/>
      <c r="B109" s="183" t="s">
        <v>156</v>
      </c>
      <c r="C109" s="184"/>
      <c r="D109" s="184"/>
      <c r="E109" s="184"/>
      <c r="F109" s="184"/>
      <c r="G109" s="185"/>
      <c r="H109" s="185"/>
      <c r="I109" s="178"/>
    </row>
    <row r="110" spans="1:9" s="31" customFormat="1" ht="16.5" x14ac:dyDescent="0.3">
      <c r="A110" s="178"/>
      <c r="B110" s="183" t="s">
        <v>157</v>
      </c>
      <c r="C110" s="184"/>
      <c r="D110" s="184"/>
      <c r="E110" s="184"/>
      <c r="F110" s="184"/>
      <c r="G110" s="185"/>
      <c r="H110" s="185"/>
      <c r="I110" s="178"/>
    </row>
    <row r="111" spans="1:9" s="31" customFormat="1" ht="16.5" x14ac:dyDescent="0.3">
      <c r="A111" s="188"/>
      <c r="B111" s="188"/>
      <c r="C111" s="188"/>
      <c r="D111" s="188"/>
      <c r="E111" s="188"/>
      <c r="F111" s="188"/>
      <c r="G111" s="188"/>
      <c r="H111" s="188"/>
      <c r="I111" s="188"/>
    </row>
    <row r="112" spans="1:9" s="31" customFormat="1" ht="15" x14ac:dyDescent="0.3"/>
    <row r="113" s="31" customFormat="1" ht="15" x14ac:dyDescent="0.3"/>
    <row r="114" s="31" customFormat="1" ht="15" x14ac:dyDescent="0.3"/>
  </sheetData>
  <sheetProtection password="EAD8" sheet="1" objects="1" scenarios="1"/>
  <mergeCells count="16">
    <mergeCell ref="A4:I4"/>
    <mergeCell ref="A5:I5"/>
    <mergeCell ref="A8:I8"/>
    <mergeCell ref="H12:H13"/>
    <mergeCell ref="A21:I21"/>
    <mergeCell ref="H23:H24"/>
    <mergeCell ref="H56:H57"/>
    <mergeCell ref="H70:H71"/>
    <mergeCell ref="A103:I103"/>
    <mergeCell ref="A52:I52"/>
    <mergeCell ref="B47:D47"/>
    <mergeCell ref="F47:I47"/>
    <mergeCell ref="B48:D48"/>
    <mergeCell ref="F48:I48"/>
    <mergeCell ref="A49:I49"/>
    <mergeCell ref="A50:I50"/>
  </mergeCells>
  <hyperlinks>
    <hyperlink ref="H35" r:id="rId1" xr:uid="{00000000-0004-0000-1100-000000000000}"/>
    <hyperlink ref="H82" r:id="rId2" xr:uid="{00000000-0004-0000-1100-000001000000}"/>
  </hyperlinks>
  <pageMargins left="0.75" right="0.75" top="1" bottom="1" header="0" footer="0"/>
  <pageSetup orientation="portrait" verticalDpi="1200" r:id="rId3"/>
  <headerFooter alignWithMargins="0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3" r:id="rId6" name="Button 1">
              <controlPr defaultSize="0" print="0" autoFill="0" autoPict="0" macro="[0]!Portada_AlHacerClic">
                <anchor moveWithCells="1" sizeWithCells="1">
                  <from>
                    <xdr:col>43</xdr:col>
                    <xdr:colOff>123825</xdr:colOff>
                    <xdr:row>17</xdr:row>
                    <xdr:rowOff>276225</xdr:rowOff>
                  </from>
                  <to>
                    <xdr:col>44</xdr:col>
                    <xdr:colOff>390525</xdr:colOff>
                    <xdr:row>19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"/>
  <dimension ref="A4:G43"/>
  <sheetViews>
    <sheetView showGridLines="0" showRowColHeaders="0" workbookViewId="0">
      <selection activeCell="E40" sqref="E40"/>
    </sheetView>
  </sheetViews>
  <sheetFormatPr baseColWidth="10" defaultColWidth="11.42578125" defaultRowHeight="16.5" x14ac:dyDescent="0.3"/>
  <cols>
    <col min="1" max="1" width="5.42578125" style="70" customWidth="1"/>
    <col min="2" max="2" width="15.5703125" style="70" customWidth="1"/>
    <col min="3" max="3" width="74.7109375" style="70" customWidth="1"/>
    <col min="4" max="16384" width="11.42578125" style="70"/>
  </cols>
  <sheetData>
    <row r="4" spans="1:3" ht="13.5" hidden="1" customHeight="1" x14ac:dyDescent="0.3"/>
    <row r="5" spans="1:3" hidden="1" x14ac:dyDescent="0.3"/>
    <row r="6" spans="1:3" ht="9" hidden="1" customHeight="1" x14ac:dyDescent="0.3">
      <c r="A6" s="70">
        <v>1</v>
      </c>
      <c r="B6" s="140">
        <v>1</v>
      </c>
    </row>
    <row r="7" spans="1:3" ht="36.75" customHeight="1" x14ac:dyDescent="0.3">
      <c r="B7" s="470" t="s">
        <v>161</v>
      </c>
      <c r="C7" s="470"/>
    </row>
    <row r="8" spans="1:3" ht="9" customHeight="1" x14ac:dyDescent="0.3"/>
    <row r="9" spans="1:3" ht="26.25" customHeight="1" x14ac:dyDescent="0.3">
      <c r="B9" s="289" t="s">
        <v>224</v>
      </c>
      <c r="C9" s="288" t="s">
        <v>225</v>
      </c>
    </row>
    <row r="10" spans="1:3" x14ac:dyDescent="0.3">
      <c r="B10" s="71" t="s">
        <v>193</v>
      </c>
      <c r="C10" s="72" t="s">
        <v>162</v>
      </c>
    </row>
    <row r="11" spans="1:3" hidden="1" x14ac:dyDescent="0.3">
      <c r="B11" s="384" t="s">
        <v>194</v>
      </c>
      <c r="C11" s="385" t="s">
        <v>163</v>
      </c>
    </row>
    <row r="12" spans="1:3" hidden="1" x14ac:dyDescent="0.3">
      <c r="B12" s="384" t="s">
        <v>195</v>
      </c>
      <c r="C12" s="385" t="s">
        <v>164</v>
      </c>
    </row>
    <row r="13" spans="1:3" x14ac:dyDescent="0.3">
      <c r="B13" s="71" t="s">
        <v>196</v>
      </c>
      <c r="C13" s="72" t="s">
        <v>165</v>
      </c>
    </row>
    <row r="14" spans="1:3" x14ac:dyDescent="0.3">
      <c r="B14" s="71" t="s">
        <v>197</v>
      </c>
      <c r="C14" s="72" t="s">
        <v>166</v>
      </c>
    </row>
    <row r="15" spans="1:3" x14ac:dyDescent="0.3">
      <c r="B15" s="71" t="s">
        <v>198</v>
      </c>
      <c r="C15" s="72" t="s">
        <v>167</v>
      </c>
    </row>
    <row r="16" spans="1:3" x14ac:dyDescent="0.3">
      <c r="B16" s="71" t="s">
        <v>199</v>
      </c>
      <c r="C16" s="72" t="s">
        <v>168</v>
      </c>
    </row>
    <row r="17" spans="2:7" x14ac:dyDescent="0.3">
      <c r="B17" s="71" t="s">
        <v>200</v>
      </c>
      <c r="C17" s="72" t="s">
        <v>169</v>
      </c>
    </row>
    <row r="18" spans="2:7" x14ac:dyDescent="0.3">
      <c r="B18" s="71" t="s">
        <v>201</v>
      </c>
      <c r="C18" s="72" t="s">
        <v>170</v>
      </c>
    </row>
    <row r="19" spans="2:7" x14ac:dyDescent="0.3">
      <c r="B19" s="71" t="s">
        <v>202</v>
      </c>
      <c r="C19" s="72" t="s">
        <v>171</v>
      </c>
    </row>
    <row r="20" spans="2:7" hidden="1" x14ac:dyDescent="0.3">
      <c r="B20" s="384" t="s">
        <v>203</v>
      </c>
      <c r="C20" s="385" t="s">
        <v>172</v>
      </c>
    </row>
    <row r="21" spans="2:7" x14ac:dyDescent="0.3">
      <c r="B21" s="71" t="s">
        <v>204</v>
      </c>
      <c r="C21" s="72" t="s">
        <v>173</v>
      </c>
    </row>
    <row r="22" spans="2:7" x14ac:dyDescent="0.3">
      <c r="B22" s="71" t="s">
        <v>205</v>
      </c>
      <c r="C22" s="72" t="s">
        <v>174</v>
      </c>
      <c r="G22" s="287"/>
    </row>
    <row r="23" spans="2:7" x14ac:dyDescent="0.3">
      <c r="B23" s="71" t="s">
        <v>206</v>
      </c>
      <c r="C23" s="72" t="s">
        <v>175</v>
      </c>
    </row>
    <row r="24" spans="2:7" x14ac:dyDescent="0.3">
      <c r="B24" s="71" t="s">
        <v>207</v>
      </c>
      <c r="C24" s="72" t="s">
        <v>176</v>
      </c>
    </row>
    <row r="25" spans="2:7" x14ac:dyDescent="0.3">
      <c r="B25" s="71" t="s">
        <v>208</v>
      </c>
      <c r="C25" s="72" t="s">
        <v>177</v>
      </c>
    </row>
    <row r="26" spans="2:7" hidden="1" x14ac:dyDescent="0.3">
      <c r="B26" s="384" t="s">
        <v>209</v>
      </c>
      <c r="C26" s="385" t="s">
        <v>178</v>
      </c>
    </row>
    <row r="27" spans="2:7" x14ac:dyDescent="0.3">
      <c r="B27" s="71" t="s">
        <v>210</v>
      </c>
      <c r="C27" s="72" t="s">
        <v>179</v>
      </c>
    </row>
    <row r="28" spans="2:7" x14ac:dyDescent="0.3">
      <c r="B28" s="71" t="s">
        <v>211</v>
      </c>
      <c r="C28" s="72" t="s">
        <v>180</v>
      </c>
    </row>
    <row r="29" spans="2:7" x14ac:dyDescent="0.3">
      <c r="B29" s="71" t="s">
        <v>212</v>
      </c>
      <c r="C29" s="72" t="s">
        <v>181</v>
      </c>
    </row>
    <row r="30" spans="2:7" x14ac:dyDescent="0.3">
      <c r="B30" s="71" t="s">
        <v>213</v>
      </c>
      <c r="C30" s="72" t="s">
        <v>182</v>
      </c>
    </row>
    <row r="31" spans="2:7" x14ac:dyDescent="0.3">
      <c r="B31" s="71" t="s">
        <v>214</v>
      </c>
      <c r="C31" s="72" t="s">
        <v>183</v>
      </c>
    </row>
    <row r="32" spans="2:7" x14ac:dyDescent="0.3">
      <c r="B32" s="71" t="s">
        <v>215</v>
      </c>
      <c r="C32" s="72" t="s">
        <v>184</v>
      </c>
    </row>
    <row r="33" spans="2:3" x14ac:dyDescent="0.3">
      <c r="B33" s="71" t="s">
        <v>216</v>
      </c>
      <c r="C33" s="72" t="s">
        <v>185</v>
      </c>
    </row>
    <row r="34" spans="2:3" x14ac:dyDescent="0.3">
      <c r="B34" s="383" t="s">
        <v>217</v>
      </c>
      <c r="C34" s="293" t="s">
        <v>186</v>
      </c>
    </row>
    <row r="35" spans="2:3" x14ac:dyDescent="0.3">
      <c r="B35" s="382" t="s">
        <v>340</v>
      </c>
      <c r="C35" s="293" t="s">
        <v>343</v>
      </c>
    </row>
    <row r="36" spans="2:3" x14ac:dyDescent="0.3">
      <c r="B36" s="383" t="s">
        <v>218</v>
      </c>
      <c r="C36" s="293" t="s">
        <v>187</v>
      </c>
    </row>
    <row r="37" spans="2:3" x14ac:dyDescent="0.3">
      <c r="B37" s="383" t="s">
        <v>219</v>
      </c>
      <c r="C37" s="293" t="s">
        <v>188</v>
      </c>
    </row>
    <row r="38" spans="2:3" x14ac:dyDescent="0.3">
      <c r="B38" s="383" t="s">
        <v>220</v>
      </c>
      <c r="C38" s="293" t="s">
        <v>189</v>
      </c>
    </row>
    <row r="39" spans="2:3" x14ac:dyDescent="0.3">
      <c r="B39" s="382" t="s">
        <v>341</v>
      </c>
      <c r="C39" s="293" t="s">
        <v>344</v>
      </c>
    </row>
    <row r="40" spans="2:3" x14ac:dyDescent="0.3">
      <c r="B40" s="382" t="s">
        <v>342</v>
      </c>
      <c r="C40" s="293" t="s">
        <v>345</v>
      </c>
    </row>
    <row r="41" spans="2:3" x14ac:dyDescent="0.3">
      <c r="B41" s="71" t="s">
        <v>221</v>
      </c>
      <c r="C41" s="72" t="s">
        <v>190</v>
      </c>
    </row>
    <row r="42" spans="2:3" x14ac:dyDescent="0.3">
      <c r="B42" s="71" t="s">
        <v>222</v>
      </c>
      <c r="C42" s="72" t="s">
        <v>191</v>
      </c>
    </row>
    <row r="43" spans="2:3" x14ac:dyDescent="0.3">
      <c r="B43" s="71" t="s">
        <v>223</v>
      </c>
      <c r="C43" s="72" t="s">
        <v>192</v>
      </c>
    </row>
  </sheetData>
  <sheetProtection password="DF59" sheet="1" objects="1" scenarios="1"/>
  <mergeCells count="1">
    <mergeCell ref="B7:C7"/>
  </mergeCells>
  <phoneticPr fontId="13" type="noConversion"/>
  <pageMargins left="0.7" right="0.7" top="0.75" bottom="0.75" header="0.3" footer="0.3"/>
  <pageSetup orientation="portrait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1"/>
  <dimension ref="A1:J180"/>
  <sheetViews>
    <sheetView showGridLines="0" showRowColHeaders="0" zoomScaleNormal="100" workbookViewId="0">
      <selection activeCell="H44" sqref="H44"/>
    </sheetView>
  </sheetViews>
  <sheetFormatPr baseColWidth="10" defaultColWidth="11.42578125" defaultRowHeight="16.5" x14ac:dyDescent="0.3"/>
  <cols>
    <col min="1" max="16384" width="11.42578125" style="22"/>
  </cols>
  <sheetData>
    <row r="1" spans="1:9" ht="18" x14ac:dyDescent="0.35">
      <c r="A1" s="21" t="s">
        <v>42</v>
      </c>
      <c r="G1" s="23" t="s">
        <v>287</v>
      </c>
    </row>
    <row r="3" spans="1:9" x14ac:dyDescent="0.3">
      <c r="G3" s="471" t="s">
        <v>43</v>
      </c>
      <c r="H3" s="471"/>
      <c r="I3" s="471"/>
    </row>
    <row r="4" spans="1:9" x14ac:dyDescent="0.3">
      <c r="G4" s="471"/>
      <c r="H4" s="471"/>
      <c r="I4" s="471"/>
    </row>
    <row r="5" spans="1:9" x14ac:dyDescent="0.3">
      <c r="G5" s="471"/>
      <c r="H5" s="471"/>
      <c r="I5" s="471"/>
    </row>
    <row r="6" spans="1:9" x14ac:dyDescent="0.3">
      <c r="G6" s="471"/>
      <c r="H6" s="471"/>
      <c r="I6" s="471"/>
    </row>
    <row r="18" spans="7:9" x14ac:dyDescent="0.3">
      <c r="G18" s="472" t="s">
        <v>44</v>
      </c>
      <c r="H18" s="472"/>
      <c r="I18" s="472"/>
    </row>
    <row r="19" spans="7:9" x14ac:dyDescent="0.3">
      <c r="G19" s="472"/>
      <c r="H19" s="472"/>
      <c r="I19" s="472"/>
    </row>
    <row r="20" spans="7:9" x14ac:dyDescent="0.3">
      <c r="G20" s="472"/>
      <c r="H20" s="472"/>
      <c r="I20" s="472"/>
    </row>
    <row r="21" spans="7:9" x14ac:dyDescent="0.3">
      <c r="G21" s="472"/>
      <c r="H21" s="472"/>
      <c r="I21" s="472"/>
    </row>
    <row r="33" spans="7:9" x14ac:dyDescent="0.3">
      <c r="G33" s="471" t="s">
        <v>45</v>
      </c>
      <c r="H33" s="471"/>
      <c r="I33" s="471"/>
    </row>
    <row r="34" spans="7:9" x14ac:dyDescent="0.3">
      <c r="G34" s="471"/>
      <c r="H34" s="471"/>
      <c r="I34" s="471"/>
    </row>
    <row r="35" spans="7:9" x14ac:dyDescent="0.3">
      <c r="G35" s="471"/>
      <c r="H35" s="471"/>
      <c r="I35" s="471"/>
    </row>
    <row r="36" spans="7:9" x14ac:dyDescent="0.3">
      <c r="G36" s="471"/>
      <c r="H36" s="471"/>
      <c r="I36" s="471"/>
    </row>
    <row r="37" spans="7:9" x14ac:dyDescent="0.3">
      <c r="G37" s="471"/>
      <c r="H37" s="471"/>
      <c r="I37" s="471"/>
    </row>
    <row r="38" spans="7:9" x14ac:dyDescent="0.3">
      <c r="G38" s="471"/>
      <c r="H38" s="471"/>
      <c r="I38" s="471"/>
    </row>
    <row r="47" spans="7:9" x14ac:dyDescent="0.3">
      <c r="G47" s="23" t="s">
        <v>287</v>
      </c>
    </row>
    <row r="72" spans="1:9" ht="18" x14ac:dyDescent="0.35">
      <c r="A72" s="21" t="s">
        <v>46</v>
      </c>
      <c r="G72" s="253" t="s">
        <v>287</v>
      </c>
      <c r="H72" s="230"/>
      <c r="I72" s="230"/>
    </row>
    <row r="75" spans="1:9" x14ac:dyDescent="0.3">
      <c r="G75" s="471" t="s">
        <v>47</v>
      </c>
      <c r="H75" s="471"/>
      <c r="I75" s="471"/>
    </row>
    <row r="76" spans="1:9" x14ac:dyDescent="0.3">
      <c r="G76" s="471"/>
      <c r="H76" s="471"/>
      <c r="I76" s="471"/>
    </row>
    <row r="77" spans="1:9" x14ac:dyDescent="0.3">
      <c r="G77" s="471"/>
      <c r="H77" s="471"/>
      <c r="I77" s="471"/>
    </row>
    <row r="78" spans="1:9" x14ac:dyDescent="0.3">
      <c r="G78" s="471"/>
      <c r="H78" s="471"/>
      <c r="I78" s="471"/>
    </row>
    <row r="79" spans="1:9" x14ac:dyDescent="0.3">
      <c r="G79" s="471"/>
      <c r="H79" s="471"/>
      <c r="I79" s="471"/>
    </row>
    <row r="80" spans="1:9" x14ac:dyDescent="0.3">
      <c r="G80" s="471"/>
      <c r="H80" s="471"/>
      <c r="I80" s="471"/>
    </row>
    <row r="91" spans="7:9" x14ac:dyDescent="0.3">
      <c r="G91" s="471" t="s">
        <v>48</v>
      </c>
      <c r="H91" s="471"/>
      <c r="I91" s="471"/>
    </row>
    <row r="92" spans="7:9" x14ac:dyDescent="0.3">
      <c r="G92" s="471"/>
      <c r="H92" s="471"/>
      <c r="I92" s="471"/>
    </row>
    <row r="93" spans="7:9" x14ac:dyDescent="0.3">
      <c r="G93" s="471"/>
      <c r="H93" s="471"/>
      <c r="I93" s="471"/>
    </row>
    <row r="94" spans="7:9" x14ac:dyDescent="0.3">
      <c r="G94" s="471"/>
      <c r="H94" s="471"/>
      <c r="I94" s="471"/>
    </row>
    <row r="95" spans="7:9" x14ac:dyDescent="0.3">
      <c r="G95" s="471"/>
      <c r="H95" s="471"/>
      <c r="I95" s="471"/>
    </row>
    <row r="109" spans="7:9" x14ac:dyDescent="0.3">
      <c r="G109" s="471" t="s">
        <v>49</v>
      </c>
      <c r="H109" s="471"/>
      <c r="I109" s="471"/>
    </row>
    <row r="110" spans="7:9" x14ac:dyDescent="0.3">
      <c r="G110" s="471"/>
      <c r="H110" s="471"/>
      <c r="I110" s="471"/>
    </row>
    <row r="111" spans="7:9" x14ac:dyDescent="0.3">
      <c r="G111" s="471"/>
      <c r="H111" s="471"/>
      <c r="I111" s="471"/>
    </row>
    <row r="112" spans="7:9" x14ac:dyDescent="0.3">
      <c r="G112" s="471"/>
      <c r="H112" s="471"/>
      <c r="I112" s="471"/>
    </row>
    <row r="113" spans="7:9" x14ac:dyDescent="0.3">
      <c r="G113" s="471"/>
      <c r="H113" s="471"/>
      <c r="I113" s="471"/>
    </row>
    <row r="114" spans="7:9" x14ac:dyDescent="0.3">
      <c r="G114" s="471"/>
      <c r="H114" s="471"/>
      <c r="I114" s="471"/>
    </row>
    <row r="117" spans="7:9" x14ac:dyDescent="0.3">
      <c r="G117" s="471" t="s">
        <v>50</v>
      </c>
      <c r="H117" s="471"/>
      <c r="I117" s="471"/>
    </row>
    <row r="118" spans="7:9" x14ac:dyDescent="0.3">
      <c r="G118" s="471"/>
      <c r="H118" s="471"/>
      <c r="I118" s="471"/>
    </row>
    <row r="122" spans="7:9" x14ac:dyDescent="0.3">
      <c r="G122" s="473" t="s">
        <v>287</v>
      </c>
      <c r="H122" s="473"/>
      <c r="I122" s="473"/>
    </row>
    <row r="137" spans="1:9" ht="18" x14ac:dyDescent="0.35">
      <c r="A137" s="21" t="s">
        <v>311</v>
      </c>
      <c r="G137" s="253" t="s">
        <v>287</v>
      </c>
      <c r="H137" s="230"/>
      <c r="I137" s="230"/>
    </row>
    <row r="139" spans="1:9" x14ac:dyDescent="0.3">
      <c r="G139" s="471" t="s">
        <v>312</v>
      </c>
      <c r="H139" s="471"/>
      <c r="I139" s="471"/>
    </row>
    <row r="140" spans="1:9" x14ac:dyDescent="0.3">
      <c r="G140" s="471"/>
      <c r="H140" s="471"/>
      <c r="I140" s="471"/>
    </row>
    <row r="141" spans="1:9" x14ac:dyDescent="0.3">
      <c r="G141" s="471"/>
      <c r="H141" s="471"/>
      <c r="I141" s="471"/>
    </row>
    <row r="142" spans="1:9" x14ac:dyDescent="0.3">
      <c r="G142" s="471"/>
      <c r="H142" s="471"/>
      <c r="I142" s="471"/>
    </row>
    <row r="143" spans="1:9" x14ac:dyDescent="0.3">
      <c r="G143" s="471"/>
      <c r="H143" s="471"/>
      <c r="I143" s="471"/>
    </row>
    <row r="144" spans="1:9" x14ac:dyDescent="0.3">
      <c r="G144" s="471"/>
      <c r="H144" s="471"/>
      <c r="I144" s="471"/>
    </row>
    <row r="161" spans="8:10" x14ac:dyDescent="0.3">
      <c r="H161" s="471" t="s">
        <v>48</v>
      </c>
      <c r="I161" s="471"/>
      <c r="J161" s="471"/>
    </row>
    <row r="162" spans="8:10" x14ac:dyDescent="0.3">
      <c r="H162" s="471"/>
      <c r="I162" s="471"/>
      <c r="J162" s="471"/>
    </row>
    <row r="163" spans="8:10" x14ac:dyDescent="0.3">
      <c r="H163" s="471"/>
      <c r="I163" s="471"/>
      <c r="J163" s="471"/>
    </row>
    <row r="164" spans="8:10" x14ac:dyDescent="0.3">
      <c r="H164" s="471"/>
      <c r="I164" s="471"/>
      <c r="J164" s="471"/>
    </row>
    <row r="165" spans="8:10" x14ac:dyDescent="0.3">
      <c r="H165" s="471"/>
      <c r="I165" s="471"/>
      <c r="J165" s="471"/>
    </row>
    <row r="175" spans="8:10" x14ac:dyDescent="0.3">
      <c r="H175" s="471" t="s">
        <v>49</v>
      </c>
      <c r="I175" s="471"/>
      <c r="J175" s="471"/>
    </row>
    <row r="176" spans="8:10" x14ac:dyDescent="0.3">
      <c r="H176" s="471"/>
      <c r="I176" s="471"/>
      <c r="J176" s="471"/>
    </row>
    <row r="177" spans="8:10" x14ac:dyDescent="0.3">
      <c r="H177" s="471"/>
      <c r="I177" s="471"/>
      <c r="J177" s="471"/>
    </row>
    <row r="178" spans="8:10" x14ac:dyDescent="0.3">
      <c r="H178" s="471"/>
      <c r="I178" s="471"/>
      <c r="J178" s="471"/>
    </row>
    <row r="179" spans="8:10" x14ac:dyDescent="0.3">
      <c r="H179" s="471"/>
      <c r="I179" s="471"/>
      <c r="J179" s="471"/>
    </row>
    <row r="180" spans="8:10" x14ac:dyDescent="0.3">
      <c r="H180" s="471"/>
      <c r="I180" s="471"/>
      <c r="J180" s="471"/>
    </row>
  </sheetData>
  <sheetProtection password="EAD8" sheet="1" autoFilter="0"/>
  <mergeCells count="11">
    <mergeCell ref="H161:J165"/>
    <mergeCell ref="H175:J180"/>
    <mergeCell ref="G109:I114"/>
    <mergeCell ref="G117:I118"/>
    <mergeCell ref="G122:I122"/>
    <mergeCell ref="G139:I144"/>
    <mergeCell ref="G3:I6"/>
    <mergeCell ref="G18:I21"/>
    <mergeCell ref="G33:I38"/>
    <mergeCell ref="G75:I80"/>
    <mergeCell ref="G91:I95"/>
  </mergeCells>
  <phoneticPr fontId="13" type="noConversion"/>
  <hyperlinks>
    <hyperlink ref="G1" location="Menu!A1" display="Volver al Menú" xr:uid="{00000000-0004-0000-1300-000000000000}"/>
    <hyperlink ref="G47" location="Menu!A1" display="Volver al Menú" xr:uid="{00000000-0004-0000-1300-000001000000}"/>
    <hyperlink ref="G122" location="Introduccion!A1" display="Volver a la Introducción" xr:uid="{00000000-0004-0000-1300-000002000000}"/>
    <hyperlink ref="G122:H122" location="Menu!A1" display="Volver al Menú Principal" xr:uid="{00000000-0004-0000-1300-000003000000}"/>
    <hyperlink ref="G122:I122" location="Menu!A1" display="Volver al Menú" xr:uid="{00000000-0004-0000-1300-000004000000}"/>
    <hyperlink ref="G72" location="Menu!A1" display="Volver al Menú" xr:uid="{00000000-0004-0000-1300-000005000000}"/>
    <hyperlink ref="G72:H72" location="Menu1!A1" display="Volver al Menú" xr:uid="{00000000-0004-0000-1300-000006000000}"/>
    <hyperlink ref="G137" location="Menu!A1" display="Volver al Menú" xr:uid="{00000000-0004-0000-1300-000007000000}"/>
    <hyperlink ref="G137:H137" location="Menu1!A1" display="Volver al Menú" xr:uid="{00000000-0004-0000-1300-000008000000}"/>
  </hyperlinks>
  <pageMargins left="0.7" right="0.7" top="0.75" bottom="0.75" header="0.3" footer="0.3"/>
  <pageSetup orientation="portrait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14"/>
  <dimension ref="A4:G43"/>
  <sheetViews>
    <sheetView showGridLines="0" showRowColHeaders="0" workbookViewId="0">
      <selection activeCell="B7" sqref="B7:C7"/>
    </sheetView>
  </sheetViews>
  <sheetFormatPr baseColWidth="10" defaultColWidth="11.42578125" defaultRowHeight="16.5" x14ac:dyDescent="0.3"/>
  <cols>
    <col min="1" max="1" width="5.42578125" style="70" customWidth="1"/>
    <col min="2" max="2" width="15.5703125" style="70" customWidth="1"/>
    <col min="3" max="3" width="74.7109375" style="70" customWidth="1"/>
    <col min="4" max="16384" width="11.42578125" style="70"/>
  </cols>
  <sheetData>
    <row r="4" spans="1:3" ht="13.5" hidden="1" customHeight="1" x14ac:dyDescent="0.3"/>
    <row r="5" spans="1:3" hidden="1" x14ac:dyDescent="0.3"/>
    <row r="6" spans="1:3" ht="9" hidden="1" customHeight="1" x14ac:dyDescent="0.3">
      <c r="A6" s="70">
        <v>1</v>
      </c>
      <c r="B6" s="140">
        <v>1</v>
      </c>
    </row>
    <row r="7" spans="1:3" ht="36.75" customHeight="1" x14ac:dyDescent="0.3">
      <c r="B7" s="470" t="s">
        <v>161</v>
      </c>
      <c r="C7" s="470"/>
    </row>
    <row r="8" spans="1:3" ht="9" customHeight="1" x14ac:dyDescent="0.3"/>
    <row r="9" spans="1:3" ht="26.25" customHeight="1" x14ac:dyDescent="0.3">
      <c r="B9" s="289" t="s">
        <v>224</v>
      </c>
      <c r="C9" s="288" t="s">
        <v>225</v>
      </c>
    </row>
    <row r="10" spans="1:3" x14ac:dyDescent="0.3">
      <c r="B10" s="71" t="s">
        <v>193</v>
      </c>
      <c r="C10" s="72" t="s">
        <v>162</v>
      </c>
    </row>
    <row r="11" spans="1:3" hidden="1" x14ac:dyDescent="0.3">
      <c r="B11" s="384" t="s">
        <v>194</v>
      </c>
      <c r="C11" s="385" t="s">
        <v>163</v>
      </c>
    </row>
    <row r="12" spans="1:3" hidden="1" x14ac:dyDescent="0.3">
      <c r="B12" s="384" t="s">
        <v>195</v>
      </c>
      <c r="C12" s="385" t="s">
        <v>164</v>
      </c>
    </row>
    <row r="13" spans="1:3" x14ac:dyDescent="0.3">
      <c r="B13" s="71" t="s">
        <v>196</v>
      </c>
      <c r="C13" s="72" t="s">
        <v>165</v>
      </c>
    </row>
    <row r="14" spans="1:3" x14ac:dyDescent="0.3">
      <c r="B14" s="71" t="s">
        <v>197</v>
      </c>
      <c r="C14" s="72" t="s">
        <v>166</v>
      </c>
    </row>
    <row r="15" spans="1:3" x14ac:dyDescent="0.3">
      <c r="B15" s="71" t="s">
        <v>198</v>
      </c>
      <c r="C15" s="72" t="s">
        <v>167</v>
      </c>
    </row>
    <row r="16" spans="1:3" x14ac:dyDescent="0.3">
      <c r="B16" s="71" t="s">
        <v>199</v>
      </c>
      <c r="C16" s="72" t="s">
        <v>168</v>
      </c>
    </row>
    <row r="17" spans="2:7" x14ac:dyDescent="0.3">
      <c r="B17" s="71" t="s">
        <v>200</v>
      </c>
      <c r="C17" s="72" t="s">
        <v>169</v>
      </c>
    </row>
    <row r="18" spans="2:7" x14ac:dyDescent="0.3">
      <c r="B18" s="71" t="s">
        <v>201</v>
      </c>
      <c r="C18" s="72" t="s">
        <v>170</v>
      </c>
    </row>
    <row r="19" spans="2:7" x14ac:dyDescent="0.3">
      <c r="B19" s="71" t="s">
        <v>202</v>
      </c>
      <c r="C19" s="72" t="s">
        <v>171</v>
      </c>
    </row>
    <row r="20" spans="2:7" hidden="1" x14ac:dyDescent="0.3">
      <c r="B20" s="384" t="s">
        <v>203</v>
      </c>
      <c r="C20" s="385" t="s">
        <v>172</v>
      </c>
    </row>
    <row r="21" spans="2:7" x14ac:dyDescent="0.3">
      <c r="B21" s="71" t="s">
        <v>204</v>
      </c>
      <c r="C21" s="72" t="s">
        <v>173</v>
      </c>
    </row>
    <row r="22" spans="2:7" x14ac:dyDescent="0.3">
      <c r="B22" s="71" t="s">
        <v>205</v>
      </c>
      <c r="C22" s="72" t="s">
        <v>174</v>
      </c>
      <c r="G22" s="287"/>
    </row>
    <row r="23" spans="2:7" x14ac:dyDescent="0.3">
      <c r="B23" s="71" t="s">
        <v>206</v>
      </c>
      <c r="C23" s="72" t="s">
        <v>175</v>
      </c>
    </row>
    <row r="24" spans="2:7" x14ac:dyDescent="0.3">
      <c r="B24" s="71" t="s">
        <v>207</v>
      </c>
      <c r="C24" s="72" t="s">
        <v>176</v>
      </c>
    </row>
    <row r="25" spans="2:7" x14ac:dyDescent="0.3">
      <c r="B25" s="71" t="s">
        <v>208</v>
      </c>
      <c r="C25" s="72" t="s">
        <v>177</v>
      </c>
    </row>
    <row r="26" spans="2:7" hidden="1" x14ac:dyDescent="0.3">
      <c r="B26" s="384" t="s">
        <v>209</v>
      </c>
      <c r="C26" s="385" t="s">
        <v>178</v>
      </c>
    </row>
    <row r="27" spans="2:7" x14ac:dyDescent="0.3">
      <c r="B27" s="71" t="s">
        <v>210</v>
      </c>
      <c r="C27" s="72" t="s">
        <v>179</v>
      </c>
    </row>
    <row r="28" spans="2:7" x14ac:dyDescent="0.3">
      <c r="B28" s="71" t="s">
        <v>211</v>
      </c>
      <c r="C28" s="72" t="s">
        <v>180</v>
      </c>
    </row>
    <row r="29" spans="2:7" x14ac:dyDescent="0.3">
      <c r="B29" s="71" t="s">
        <v>212</v>
      </c>
      <c r="C29" s="72" t="s">
        <v>181</v>
      </c>
    </row>
    <row r="30" spans="2:7" x14ac:dyDescent="0.3">
      <c r="B30" s="71" t="s">
        <v>213</v>
      </c>
      <c r="C30" s="72" t="s">
        <v>182</v>
      </c>
    </row>
    <row r="31" spans="2:7" x14ac:dyDescent="0.3">
      <c r="B31" s="71" t="s">
        <v>214</v>
      </c>
      <c r="C31" s="72" t="s">
        <v>183</v>
      </c>
    </row>
    <row r="32" spans="2:7" x14ac:dyDescent="0.3">
      <c r="B32" s="71" t="s">
        <v>215</v>
      </c>
      <c r="C32" s="72" t="s">
        <v>184</v>
      </c>
    </row>
    <row r="33" spans="2:3" x14ac:dyDescent="0.3">
      <c r="B33" s="71" t="s">
        <v>216</v>
      </c>
      <c r="C33" s="72" t="s">
        <v>185</v>
      </c>
    </row>
    <row r="34" spans="2:3" x14ac:dyDescent="0.3">
      <c r="B34" s="71" t="s">
        <v>217</v>
      </c>
      <c r="C34" s="72" t="s">
        <v>186</v>
      </c>
    </row>
    <row r="35" spans="2:3" x14ac:dyDescent="0.3">
      <c r="B35" s="382" t="s">
        <v>340</v>
      </c>
      <c r="C35" s="293" t="s">
        <v>343</v>
      </c>
    </row>
    <row r="36" spans="2:3" x14ac:dyDescent="0.3">
      <c r="B36" s="383" t="s">
        <v>218</v>
      </c>
      <c r="C36" s="293" t="s">
        <v>187</v>
      </c>
    </row>
    <row r="37" spans="2:3" x14ac:dyDescent="0.3">
      <c r="B37" s="383" t="s">
        <v>219</v>
      </c>
      <c r="C37" s="293" t="s">
        <v>188</v>
      </c>
    </row>
    <row r="38" spans="2:3" x14ac:dyDescent="0.3">
      <c r="B38" s="383" t="s">
        <v>220</v>
      </c>
      <c r="C38" s="293" t="s">
        <v>189</v>
      </c>
    </row>
    <row r="39" spans="2:3" x14ac:dyDescent="0.3">
      <c r="B39" s="382" t="s">
        <v>341</v>
      </c>
      <c r="C39" s="293" t="s">
        <v>344</v>
      </c>
    </row>
    <row r="40" spans="2:3" x14ac:dyDescent="0.3">
      <c r="B40" s="382" t="s">
        <v>342</v>
      </c>
      <c r="C40" s="293" t="s">
        <v>345</v>
      </c>
    </row>
    <row r="41" spans="2:3" x14ac:dyDescent="0.3">
      <c r="B41" s="71" t="s">
        <v>221</v>
      </c>
      <c r="C41" s="72" t="s">
        <v>190</v>
      </c>
    </row>
    <row r="42" spans="2:3" x14ac:dyDescent="0.3">
      <c r="B42" s="71" t="s">
        <v>222</v>
      </c>
      <c r="C42" s="72" t="s">
        <v>191</v>
      </c>
    </row>
    <row r="43" spans="2:3" x14ac:dyDescent="0.3">
      <c r="B43" s="71" t="s">
        <v>223</v>
      </c>
      <c r="C43" s="72" t="s">
        <v>192</v>
      </c>
    </row>
  </sheetData>
  <sheetProtection password="DF59" sheet="1"/>
  <mergeCells count="1">
    <mergeCell ref="B7:C7"/>
  </mergeCells>
  <pageMargins left="0.7" right="0.7" top="0.75" bottom="0.75" header="0.3" footer="0.3"/>
  <pageSetup orientation="portrait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2"/>
  <dimension ref="A1:A2"/>
  <sheetViews>
    <sheetView workbookViewId="0">
      <selection activeCell="A2" sqref="A2"/>
    </sheetView>
  </sheetViews>
  <sheetFormatPr baseColWidth="10" defaultColWidth="9.140625" defaultRowHeight="15" x14ac:dyDescent="0.25"/>
  <cols>
    <col min="1" max="256" width="11.42578125" customWidth="1"/>
  </cols>
  <sheetData>
    <row r="1" spans="1:1" ht="16.5" customHeight="1" x14ac:dyDescent="0.35">
      <c r="A1" s="292" t="s">
        <v>338</v>
      </c>
    </row>
    <row r="2" spans="1:1" ht="16.5" customHeight="1" x14ac:dyDescent="0.35">
      <c r="A2" s="311" t="s">
        <v>339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8"/>
  <dimension ref="A1:L107"/>
  <sheetViews>
    <sheetView showGridLines="0" showRowColHeaders="0" workbookViewId="0"/>
  </sheetViews>
  <sheetFormatPr baseColWidth="10" defaultColWidth="11.42578125" defaultRowHeight="15" x14ac:dyDescent="0.3"/>
  <cols>
    <col min="1" max="1" width="8.5703125" style="31" customWidth="1"/>
    <col min="2" max="2" width="20.42578125" style="31" customWidth="1"/>
    <col min="3" max="3" width="9.5703125" style="31" customWidth="1"/>
    <col min="4" max="4" width="8.7109375" style="31" customWidth="1"/>
    <col min="5" max="5" width="17.85546875" style="31" customWidth="1"/>
    <col min="6" max="6" width="10.140625" style="31" customWidth="1"/>
    <col min="7" max="7" width="31.28515625" style="31" customWidth="1"/>
    <col min="8" max="8" width="20.140625" style="31" customWidth="1"/>
    <col min="9" max="9" width="4" style="31" customWidth="1"/>
    <col min="10" max="10" width="1.7109375" style="31" customWidth="1"/>
    <col min="11" max="16384" width="11.42578125" style="31"/>
  </cols>
  <sheetData>
    <row r="1" spans="1:12" ht="7.5" customHeight="1" x14ac:dyDescent="0.3"/>
    <row r="2" spans="1:12" ht="7.5" customHeight="1" x14ac:dyDescent="0.3"/>
    <row r="3" spans="1:12" ht="7.5" customHeight="1" x14ac:dyDescent="0.3"/>
    <row r="4" spans="1:12" ht="7.5" customHeight="1" x14ac:dyDescent="0.3"/>
    <row r="5" spans="1:12" ht="7.5" customHeight="1" x14ac:dyDescent="0.35">
      <c r="D5" s="87"/>
    </row>
    <row r="6" spans="1:12" ht="7.5" customHeight="1" x14ac:dyDescent="0.3"/>
    <row r="7" spans="1:12" ht="7.5" customHeight="1" x14ac:dyDescent="0.3"/>
    <row r="8" spans="1:12" ht="20.25" x14ac:dyDescent="0.35">
      <c r="A8" s="460" t="s">
        <v>238</v>
      </c>
      <c r="B8" s="460"/>
      <c r="C8" s="460"/>
      <c r="D8" s="460"/>
      <c r="E8" s="460"/>
      <c r="F8" s="460"/>
      <c r="G8" s="460"/>
      <c r="H8" s="460"/>
      <c r="I8" s="460"/>
    </row>
    <row r="9" spans="1:12" x14ac:dyDescent="0.3">
      <c r="A9" s="452" t="s">
        <v>239</v>
      </c>
      <c r="B9" s="452"/>
      <c r="C9" s="452"/>
      <c r="D9" s="452"/>
      <c r="E9" s="452"/>
      <c r="F9" s="452"/>
      <c r="G9" s="452"/>
      <c r="H9" s="452"/>
      <c r="I9" s="452"/>
    </row>
    <row r="10" spans="1:12" ht="8.25" customHeight="1" x14ac:dyDescent="0.3">
      <c r="A10" s="88"/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</row>
    <row r="11" spans="1:12" ht="15.75" thickBot="1" x14ac:dyDescent="0.35">
      <c r="A11" s="475"/>
      <c r="B11" s="475"/>
      <c r="C11" s="475"/>
      <c r="D11" s="475"/>
      <c r="E11" s="475"/>
      <c r="F11" s="475"/>
      <c r="G11" s="475"/>
      <c r="H11" s="475"/>
      <c r="I11" s="475"/>
    </row>
    <row r="12" spans="1:12" ht="16.5" customHeight="1" thickBot="1" x14ac:dyDescent="0.35">
      <c r="A12" s="478" t="s">
        <v>240</v>
      </c>
      <c r="B12" s="479"/>
      <c r="C12" s="479"/>
      <c r="D12" s="479"/>
      <c r="E12" s="479"/>
      <c r="F12" s="479"/>
      <c r="G12" s="479"/>
      <c r="H12" s="479"/>
      <c r="I12" s="480"/>
      <c r="J12" s="41"/>
      <c r="K12" s="41"/>
    </row>
    <row r="13" spans="1:12" ht="15.75" thickBot="1" x14ac:dyDescent="0.35">
      <c r="A13" s="89"/>
      <c r="B13" s="89" t="s">
        <v>58</v>
      </c>
      <c r="C13" s="89" t="s">
        <v>59</v>
      </c>
      <c r="D13" s="89" t="s">
        <v>60</v>
      </c>
      <c r="E13" s="89" t="s">
        <v>61</v>
      </c>
      <c r="F13" s="89" t="s">
        <v>62</v>
      </c>
      <c r="G13" s="89" t="s">
        <v>63</v>
      </c>
      <c r="H13" s="90" t="s">
        <v>64</v>
      </c>
      <c r="I13" s="91"/>
      <c r="J13" s="35"/>
      <c r="K13" s="35"/>
    </row>
    <row r="14" spans="1:12" s="54" customFormat="1" ht="34.5" thickBot="1" x14ac:dyDescent="0.35">
      <c r="A14" s="95">
        <v>1</v>
      </c>
      <c r="B14" s="96" t="s">
        <v>101</v>
      </c>
      <c r="C14" s="95">
        <v>2</v>
      </c>
      <c r="D14" s="95" t="s">
        <v>67</v>
      </c>
      <c r="E14" s="95" t="s">
        <v>68</v>
      </c>
      <c r="F14" s="95" t="s">
        <v>69</v>
      </c>
      <c r="G14" s="96" t="s">
        <v>241</v>
      </c>
      <c r="H14" s="97" t="s">
        <v>71</v>
      </c>
      <c r="I14" s="98"/>
      <c r="J14" s="35"/>
      <c r="K14" s="35"/>
    </row>
    <row r="15" spans="1:12" ht="23.25" thickBot="1" x14ac:dyDescent="0.35">
      <c r="A15" s="95">
        <f>A14+1</f>
        <v>2</v>
      </c>
      <c r="B15" s="96" t="s">
        <v>242</v>
      </c>
      <c r="C15" s="95">
        <v>17</v>
      </c>
      <c r="D15" s="95" t="s">
        <v>67</v>
      </c>
      <c r="E15" s="95">
        <v>0</v>
      </c>
      <c r="F15" s="95" t="s">
        <v>243</v>
      </c>
      <c r="G15" s="96" t="s">
        <v>244</v>
      </c>
      <c r="H15" s="99" t="s">
        <v>245</v>
      </c>
      <c r="I15" s="98"/>
      <c r="J15" s="35"/>
      <c r="K15" s="35"/>
    </row>
    <row r="16" spans="1:12" ht="34.5" thickBot="1" x14ac:dyDescent="0.35">
      <c r="A16" s="95">
        <f t="shared" ref="A16:A26" si="0">A15+1</f>
        <v>3</v>
      </c>
      <c r="B16" s="96" t="s">
        <v>104</v>
      </c>
      <c r="C16" s="95">
        <v>1</v>
      </c>
      <c r="D16" s="95" t="s">
        <v>73</v>
      </c>
      <c r="E16" s="95" t="s">
        <v>68</v>
      </c>
      <c r="F16" s="95" t="s">
        <v>69</v>
      </c>
      <c r="G16" s="96" t="s">
        <v>77</v>
      </c>
      <c r="H16" s="465" t="s">
        <v>78</v>
      </c>
      <c r="I16" s="100"/>
      <c r="J16" s="35"/>
      <c r="K16" s="35"/>
    </row>
    <row r="17" spans="1:11" ht="23.25" thickBot="1" x14ac:dyDescent="0.35">
      <c r="A17" s="95">
        <f t="shared" si="0"/>
        <v>4</v>
      </c>
      <c r="B17" s="96" t="s">
        <v>246</v>
      </c>
      <c r="C17" s="95">
        <v>9</v>
      </c>
      <c r="D17" s="95" t="s">
        <v>67</v>
      </c>
      <c r="E17" s="95" t="s">
        <v>68</v>
      </c>
      <c r="F17" s="95" t="s">
        <v>69</v>
      </c>
      <c r="G17" s="96" t="s">
        <v>80</v>
      </c>
      <c r="H17" s="466"/>
      <c r="I17" s="100"/>
      <c r="J17" s="35"/>
      <c r="K17" s="35"/>
    </row>
    <row r="18" spans="1:11" ht="45.75" thickBot="1" x14ac:dyDescent="0.35">
      <c r="A18" s="95">
        <f t="shared" si="0"/>
        <v>5</v>
      </c>
      <c r="B18" s="101" t="s">
        <v>106</v>
      </c>
      <c r="C18" s="102">
        <v>60</v>
      </c>
      <c r="D18" s="102" t="s">
        <v>73</v>
      </c>
      <c r="E18" s="102" t="s">
        <v>68</v>
      </c>
      <c r="F18" s="102" t="s">
        <v>69</v>
      </c>
      <c r="G18" s="101" t="s">
        <v>107</v>
      </c>
      <c r="H18" s="103" t="s">
        <v>108</v>
      </c>
      <c r="I18" s="98"/>
      <c r="J18" s="35"/>
      <c r="K18" s="35"/>
    </row>
    <row r="19" spans="1:11" ht="68.25" thickBot="1" x14ac:dyDescent="0.35">
      <c r="A19" s="95">
        <f t="shared" si="0"/>
        <v>6</v>
      </c>
      <c r="B19" s="101" t="s">
        <v>247</v>
      </c>
      <c r="C19" s="102">
        <v>3</v>
      </c>
      <c r="D19" s="102" t="s">
        <v>73</v>
      </c>
      <c r="E19" s="102" t="s">
        <v>68</v>
      </c>
      <c r="F19" s="102" t="s">
        <v>69</v>
      </c>
      <c r="G19" s="101" t="s">
        <v>248</v>
      </c>
      <c r="H19" s="103" t="s">
        <v>23</v>
      </c>
      <c r="I19" s="98"/>
      <c r="J19" s="35"/>
      <c r="K19" s="35"/>
    </row>
    <row r="20" spans="1:11" ht="45.75" thickBot="1" x14ac:dyDescent="0.35">
      <c r="A20" s="95">
        <f t="shared" si="0"/>
        <v>7</v>
      </c>
      <c r="B20" s="101" t="s">
        <v>115</v>
      </c>
      <c r="C20" s="102">
        <v>20</v>
      </c>
      <c r="D20" s="102" t="s">
        <v>67</v>
      </c>
      <c r="E20" s="102" t="s">
        <v>68</v>
      </c>
      <c r="F20" s="102" t="s">
        <v>69</v>
      </c>
      <c r="G20" s="101" t="s">
        <v>249</v>
      </c>
      <c r="H20" s="104" t="s">
        <v>117</v>
      </c>
      <c r="I20" s="98"/>
      <c r="J20" s="35"/>
      <c r="K20" s="35"/>
    </row>
    <row r="21" spans="1:11" ht="15.75" thickBot="1" x14ac:dyDescent="0.35">
      <c r="A21" s="95">
        <f t="shared" si="0"/>
        <v>8</v>
      </c>
      <c r="B21" s="101" t="s">
        <v>118</v>
      </c>
      <c r="C21" s="102">
        <v>4</v>
      </c>
      <c r="D21" s="102" t="s">
        <v>67</v>
      </c>
      <c r="E21" s="102" t="s">
        <v>68</v>
      </c>
      <c r="F21" s="102" t="s">
        <v>69</v>
      </c>
      <c r="G21" s="101" t="s">
        <v>119</v>
      </c>
      <c r="H21" s="103" t="s">
        <v>120</v>
      </c>
      <c r="I21" s="98"/>
      <c r="J21" s="35"/>
      <c r="K21" s="35"/>
    </row>
    <row r="22" spans="1:11" ht="34.5" thickBot="1" x14ac:dyDescent="0.35">
      <c r="A22" s="95">
        <f t="shared" si="0"/>
        <v>9</v>
      </c>
      <c r="B22" s="101" t="s">
        <v>250</v>
      </c>
      <c r="C22" s="95">
        <v>2</v>
      </c>
      <c r="D22" s="95" t="s">
        <v>73</v>
      </c>
      <c r="E22" s="95" t="s">
        <v>68</v>
      </c>
      <c r="F22" s="95" t="s">
        <v>69</v>
      </c>
      <c r="G22" s="96" t="s">
        <v>251</v>
      </c>
      <c r="H22" s="103" t="s">
        <v>252</v>
      </c>
      <c r="I22" s="100"/>
      <c r="J22" s="35"/>
      <c r="K22" s="35"/>
    </row>
    <row r="23" spans="1:11" ht="15.75" thickBot="1" x14ac:dyDescent="0.35">
      <c r="A23" s="95">
        <f t="shared" si="0"/>
        <v>10</v>
      </c>
      <c r="B23" s="96" t="s">
        <v>253</v>
      </c>
      <c r="C23" s="95">
        <v>15</v>
      </c>
      <c r="D23" s="95" t="s">
        <v>67</v>
      </c>
      <c r="E23" s="95">
        <v>2</v>
      </c>
      <c r="F23" s="95" t="s">
        <v>69</v>
      </c>
      <c r="G23" s="96" t="s">
        <v>254</v>
      </c>
      <c r="H23" s="99">
        <v>1400000</v>
      </c>
      <c r="I23" s="98"/>
      <c r="J23" s="35"/>
      <c r="K23" s="35"/>
    </row>
    <row r="24" spans="1:11" ht="15.75" thickBot="1" x14ac:dyDescent="0.35">
      <c r="A24" s="95">
        <f t="shared" si="0"/>
        <v>11</v>
      </c>
      <c r="B24" s="96" t="s">
        <v>95</v>
      </c>
      <c r="C24" s="95">
        <v>3</v>
      </c>
      <c r="D24" s="95" t="s">
        <v>67</v>
      </c>
      <c r="E24" s="95" t="s">
        <v>68</v>
      </c>
      <c r="F24" s="95" t="s">
        <v>69</v>
      </c>
      <c r="G24" s="96" t="s">
        <v>96</v>
      </c>
      <c r="H24" s="99" t="s">
        <v>21</v>
      </c>
      <c r="I24" s="105"/>
      <c r="J24" s="35"/>
      <c r="K24" s="35"/>
    </row>
    <row r="25" spans="1:11" ht="15.75" thickBot="1" x14ac:dyDescent="0.35">
      <c r="A25" s="95">
        <f t="shared" si="0"/>
        <v>12</v>
      </c>
      <c r="B25" s="101" t="s">
        <v>129</v>
      </c>
      <c r="C25" s="102">
        <v>40</v>
      </c>
      <c r="D25" s="102" t="s">
        <v>73</v>
      </c>
      <c r="E25" s="102" t="s">
        <v>68</v>
      </c>
      <c r="F25" s="102" t="s">
        <v>126</v>
      </c>
      <c r="G25" s="101" t="s">
        <v>130</v>
      </c>
      <c r="H25" s="106" t="s">
        <v>131</v>
      </c>
      <c r="I25" s="105"/>
    </row>
    <row r="26" spans="1:11" ht="15.75" thickBot="1" x14ac:dyDescent="0.35">
      <c r="A26" s="95">
        <f t="shared" si="0"/>
        <v>13</v>
      </c>
      <c r="B26" s="96" t="s">
        <v>132</v>
      </c>
      <c r="C26" s="95">
        <v>11</v>
      </c>
      <c r="D26" s="95" t="s">
        <v>67</v>
      </c>
      <c r="E26" s="95" t="s">
        <v>68</v>
      </c>
      <c r="F26" s="95" t="s">
        <v>126</v>
      </c>
      <c r="G26" s="96" t="s">
        <v>133</v>
      </c>
      <c r="H26" s="107" t="s">
        <v>134</v>
      </c>
      <c r="I26" s="105"/>
      <c r="J26" s="50"/>
      <c r="K26" s="50"/>
    </row>
    <row r="27" spans="1:11" ht="15.75" thickBot="1" x14ac:dyDescent="0.35">
      <c r="A27" s="95"/>
      <c r="B27" s="96" t="s">
        <v>97</v>
      </c>
      <c r="C27" s="95">
        <f>250-(SUM(C14:C26))</f>
        <v>63</v>
      </c>
      <c r="D27" s="95" t="s">
        <v>98</v>
      </c>
      <c r="E27" s="95" t="s">
        <v>98</v>
      </c>
      <c r="F27" s="95" t="s">
        <v>69</v>
      </c>
      <c r="G27" s="96" t="s">
        <v>99</v>
      </c>
      <c r="H27" s="103"/>
      <c r="I27" s="98"/>
    </row>
    <row r="28" spans="1:11" ht="16.5" customHeight="1" thickBot="1" x14ac:dyDescent="0.35">
      <c r="A28" s="478" t="s">
        <v>255</v>
      </c>
      <c r="B28" s="479"/>
      <c r="C28" s="479"/>
      <c r="D28" s="479"/>
      <c r="E28" s="479"/>
      <c r="F28" s="479"/>
      <c r="G28" s="479"/>
      <c r="H28" s="479"/>
      <c r="I28" s="480"/>
    </row>
    <row r="29" spans="1:11" ht="34.5" thickBot="1" x14ac:dyDescent="0.35">
      <c r="A29" s="95">
        <v>1</v>
      </c>
      <c r="B29" s="96" t="s">
        <v>136</v>
      </c>
      <c r="C29" s="95">
        <v>2</v>
      </c>
      <c r="D29" s="95" t="s">
        <v>73</v>
      </c>
      <c r="E29" s="95" t="s">
        <v>68</v>
      </c>
      <c r="F29" s="95" t="s">
        <v>69</v>
      </c>
      <c r="G29" s="96" t="s">
        <v>256</v>
      </c>
      <c r="H29" s="97" t="s">
        <v>103</v>
      </c>
      <c r="I29" s="98"/>
    </row>
    <row r="30" spans="1:11" ht="34.5" thickBot="1" x14ac:dyDescent="0.35">
      <c r="A30" s="102">
        <f>A29+1</f>
        <v>2</v>
      </c>
      <c r="B30" s="96" t="s">
        <v>257</v>
      </c>
      <c r="C30" s="95">
        <v>1</v>
      </c>
      <c r="D30" s="95" t="s">
        <v>73</v>
      </c>
      <c r="E30" s="95" t="s">
        <v>68</v>
      </c>
      <c r="F30" s="95" t="s">
        <v>69</v>
      </c>
      <c r="G30" s="96" t="s">
        <v>77</v>
      </c>
      <c r="H30" s="476" t="s">
        <v>78</v>
      </c>
      <c r="I30" s="98"/>
    </row>
    <row r="31" spans="1:11" ht="15.75" thickBot="1" x14ac:dyDescent="0.35">
      <c r="A31" s="102">
        <f>A30+1</f>
        <v>3</v>
      </c>
      <c r="B31" s="96" t="s">
        <v>258</v>
      </c>
      <c r="C31" s="95">
        <v>9</v>
      </c>
      <c r="D31" s="95" t="s">
        <v>67</v>
      </c>
      <c r="E31" s="95" t="s">
        <v>68</v>
      </c>
      <c r="F31" s="95" t="s">
        <v>69</v>
      </c>
      <c r="G31" s="96" t="s">
        <v>80</v>
      </c>
      <c r="H31" s="477"/>
      <c r="I31" s="98"/>
    </row>
    <row r="32" spans="1:11" ht="23.25" thickBot="1" x14ac:dyDescent="0.35">
      <c r="A32" s="102">
        <f>A31+1</f>
        <v>4</v>
      </c>
      <c r="B32" s="101" t="s">
        <v>259</v>
      </c>
      <c r="C32" s="102">
        <v>60</v>
      </c>
      <c r="D32" s="102" t="s">
        <v>73</v>
      </c>
      <c r="E32" s="102" t="s">
        <v>68</v>
      </c>
      <c r="F32" s="102" t="s">
        <v>69</v>
      </c>
      <c r="G32" s="101" t="s">
        <v>260</v>
      </c>
      <c r="H32" s="103" t="s">
        <v>261</v>
      </c>
      <c r="I32" s="98"/>
    </row>
    <row r="33" spans="1:11" ht="34.5" thickBot="1" x14ac:dyDescent="0.35">
      <c r="A33" s="102">
        <f>A32+1</f>
        <v>5</v>
      </c>
      <c r="B33" s="101" t="s">
        <v>262</v>
      </c>
      <c r="C33" s="95">
        <v>2</v>
      </c>
      <c r="D33" s="95" t="s">
        <v>73</v>
      </c>
      <c r="E33" s="95" t="s">
        <v>68</v>
      </c>
      <c r="F33" s="95" t="s">
        <v>69</v>
      </c>
      <c r="G33" s="96" t="s">
        <v>263</v>
      </c>
      <c r="H33" s="103" t="s">
        <v>252</v>
      </c>
      <c r="I33" s="98"/>
      <c r="J33" s="41"/>
      <c r="K33" s="41"/>
    </row>
    <row r="34" spans="1:11" s="54" customFormat="1" ht="15.75" thickBot="1" x14ac:dyDescent="0.35">
      <c r="A34" s="95"/>
      <c r="B34" s="96" t="s">
        <v>97</v>
      </c>
      <c r="C34" s="95">
        <f>250-(SUM(C29:C33))</f>
        <v>176</v>
      </c>
      <c r="D34" s="95" t="s">
        <v>98</v>
      </c>
      <c r="E34" s="95" t="s">
        <v>98</v>
      </c>
      <c r="F34" s="95" t="s">
        <v>69</v>
      </c>
      <c r="G34" s="96" t="s">
        <v>99</v>
      </c>
      <c r="H34" s="103"/>
      <c r="I34" s="308"/>
      <c r="J34" s="35"/>
      <c r="K34" s="35"/>
    </row>
    <row r="35" spans="1:11" x14ac:dyDescent="0.3">
      <c r="A35" s="108"/>
      <c r="B35" s="109"/>
      <c r="C35" s="108"/>
      <c r="D35" s="108"/>
      <c r="E35" s="108"/>
      <c r="F35" s="108"/>
      <c r="G35" s="109"/>
      <c r="H35" s="110"/>
      <c r="I35" s="111"/>
      <c r="J35" s="35"/>
      <c r="K35" s="35"/>
    </row>
    <row r="36" spans="1:11" x14ac:dyDescent="0.3">
      <c r="A36" s="108"/>
      <c r="B36" s="109"/>
      <c r="C36" s="108"/>
      <c r="D36" s="108"/>
      <c r="E36" s="108"/>
      <c r="F36" s="108"/>
      <c r="G36" s="109"/>
      <c r="H36" s="110"/>
      <c r="I36" s="111"/>
      <c r="J36" s="35"/>
      <c r="K36" s="35"/>
    </row>
    <row r="37" spans="1:11" ht="32.25" customHeight="1" thickBot="1" x14ac:dyDescent="0.35">
      <c r="A37" s="56"/>
      <c r="B37" s="55"/>
      <c r="C37" s="56"/>
      <c r="D37" s="56"/>
      <c r="E37" s="56"/>
      <c r="F37" s="56"/>
      <c r="G37" s="57"/>
      <c r="H37" s="57"/>
      <c r="I37" s="57"/>
    </row>
    <row r="38" spans="1:11" x14ac:dyDescent="0.3">
      <c r="A38" s="112"/>
      <c r="B38" s="113"/>
      <c r="C38" s="112"/>
      <c r="D38" s="112"/>
      <c r="E38" s="112"/>
      <c r="F38" s="112"/>
      <c r="G38" s="114"/>
      <c r="H38" s="114"/>
      <c r="I38" s="114"/>
    </row>
    <row r="39" spans="1:11" ht="34.5" customHeight="1" x14ac:dyDescent="0.35">
      <c r="A39" s="453" t="s">
        <v>238</v>
      </c>
      <c r="B39" s="453"/>
      <c r="C39" s="453"/>
      <c r="D39" s="453"/>
      <c r="E39" s="453"/>
      <c r="F39" s="453"/>
      <c r="G39" s="453"/>
      <c r="H39" s="453"/>
      <c r="I39" s="453"/>
    </row>
    <row r="40" spans="1:11" x14ac:dyDescent="0.3">
      <c r="A40" s="452" t="s">
        <v>264</v>
      </c>
      <c r="B40" s="452"/>
      <c r="C40" s="452"/>
      <c r="D40" s="452"/>
      <c r="E40" s="452"/>
      <c r="F40" s="452"/>
      <c r="G40" s="452"/>
      <c r="H40" s="452"/>
      <c r="I40" s="452"/>
    </row>
    <row r="41" spans="1:11" ht="17.25" thickBot="1" x14ac:dyDescent="0.35">
      <c r="A41" s="115"/>
      <c r="B41"/>
      <c r="C41"/>
      <c r="D41"/>
      <c r="E41"/>
      <c r="F41"/>
      <c r="G41"/>
      <c r="H41"/>
      <c r="I41"/>
    </row>
    <row r="42" spans="1:11" ht="16.5" customHeight="1" thickBot="1" x14ac:dyDescent="0.35">
      <c r="A42" s="481" t="s">
        <v>240</v>
      </c>
      <c r="B42" s="482"/>
      <c r="C42" s="482"/>
      <c r="D42" s="482"/>
      <c r="E42" s="482"/>
      <c r="F42" s="482"/>
      <c r="G42" s="482"/>
      <c r="H42" s="482"/>
      <c r="I42" s="483"/>
    </row>
    <row r="43" spans="1:11" ht="15.75" thickBot="1" x14ac:dyDescent="0.35">
      <c r="A43" s="89"/>
      <c r="B43" s="89" t="s">
        <v>58</v>
      </c>
      <c r="C43" s="89" t="s">
        <v>59</v>
      </c>
      <c r="D43" s="89" t="s">
        <v>60</v>
      </c>
      <c r="E43" s="89" t="s">
        <v>61</v>
      </c>
      <c r="F43" s="89" t="s">
        <v>62</v>
      </c>
      <c r="G43" s="89" t="s">
        <v>63</v>
      </c>
      <c r="H43" s="90" t="s">
        <v>64</v>
      </c>
      <c r="I43" s="91"/>
    </row>
    <row r="44" spans="1:11" ht="34.5" thickBot="1" x14ac:dyDescent="0.35">
      <c r="A44" s="95">
        <v>1</v>
      </c>
      <c r="B44" s="96" t="s">
        <v>101</v>
      </c>
      <c r="C44" s="95">
        <v>2</v>
      </c>
      <c r="D44" s="95" t="s">
        <v>73</v>
      </c>
      <c r="E44" s="95" t="s">
        <v>68</v>
      </c>
      <c r="F44" s="95" t="s">
        <v>69</v>
      </c>
      <c r="G44" s="96" t="s">
        <v>241</v>
      </c>
      <c r="H44" s="97" t="s">
        <v>71</v>
      </c>
      <c r="I44" s="98"/>
    </row>
    <row r="45" spans="1:11" ht="23.25" thickBot="1" x14ac:dyDescent="0.35">
      <c r="A45" s="95">
        <f>A44+1</f>
        <v>2</v>
      </c>
      <c r="B45" s="96" t="s">
        <v>242</v>
      </c>
      <c r="C45" s="95">
        <v>17</v>
      </c>
      <c r="D45" s="95" t="s">
        <v>67</v>
      </c>
      <c r="E45" s="95">
        <v>0</v>
      </c>
      <c r="F45" s="95" t="s">
        <v>243</v>
      </c>
      <c r="G45" s="96" t="s">
        <v>244</v>
      </c>
      <c r="H45" s="99" t="s">
        <v>245</v>
      </c>
      <c r="I45" s="98"/>
    </row>
    <row r="46" spans="1:11" ht="34.5" thickBot="1" x14ac:dyDescent="0.35">
      <c r="A46" s="95">
        <f t="shared" ref="A46:A60" si="1">A45+1</f>
        <v>3</v>
      </c>
      <c r="B46" s="96" t="s">
        <v>104</v>
      </c>
      <c r="C46" s="95">
        <v>1</v>
      </c>
      <c r="D46" s="95" t="s">
        <v>73</v>
      </c>
      <c r="E46" s="95" t="s">
        <v>68</v>
      </c>
      <c r="F46" s="95" t="s">
        <v>69</v>
      </c>
      <c r="G46" s="96" t="s">
        <v>77</v>
      </c>
      <c r="H46" s="465" t="s">
        <v>78</v>
      </c>
      <c r="I46" s="98"/>
    </row>
    <row r="47" spans="1:11" ht="23.25" thickBot="1" x14ac:dyDescent="0.35">
      <c r="A47" s="95">
        <f t="shared" si="1"/>
        <v>4</v>
      </c>
      <c r="B47" s="96" t="s">
        <v>105</v>
      </c>
      <c r="C47" s="95">
        <v>9</v>
      </c>
      <c r="D47" s="95" t="s">
        <v>67</v>
      </c>
      <c r="E47" s="95" t="s">
        <v>68</v>
      </c>
      <c r="F47" s="95" t="s">
        <v>69</v>
      </c>
      <c r="G47" s="96" t="s">
        <v>80</v>
      </c>
      <c r="H47" s="466"/>
      <c r="I47" s="100"/>
    </row>
    <row r="48" spans="1:11" ht="45.75" thickBot="1" x14ac:dyDescent="0.35">
      <c r="A48" s="95">
        <f t="shared" si="1"/>
        <v>5</v>
      </c>
      <c r="B48" s="101" t="s">
        <v>106</v>
      </c>
      <c r="C48" s="102">
        <v>60</v>
      </c>
      <c r="D48" s="102" t="s">
        <v>73</v>
      </c>
      <c r="E48" s="102" t="s">
        <v>68</v>
      </c>
      <c r="F48" s="102" t="s">
        <v>69</v>
      </c>
      <c r="G48" s="101" t="s">
        <v>107</v>
      </c>
      <c r="H48" s="103" t="s">
        <v>108</v>
      </c>
      <c r="I48" s="98"/>
    </row>
    <row r="49" spans="1:9" ht="68.25" thickBot="1" x14ac:dyDescent="0.35">
      <c r="A49" s="95">
        <f t="shared" si="1"/>
        <v>6</v>
      </c>
      <c r="B49" s="101" t="s">
        <v>247</v>
      </c>
      <c r="C49" s="102">
        <v>3</v>
      </c>
      <c r="D49" s="102" t="s">
        <v>73</v>
      </c>
      <c r="E49" s="102" t="s">
        <v>68</v>
      </c>
      <c r="F49" s="102" t="s">
        <v>69</v>
      </c>
      <c r="G49" s="101" t="s">
        <v>248</v>
      </c>
      <c r="H49" s="103">
        <v>123456789</v>
      </c>
      <c r="I49" s="98"/>
    </row>
    <row r="50" spans="1:9" ht="45.75" thickBot="1" x14ac:dyDescent="0.35">
      <c r="A50" s="95">
        <f t="shared" si="1"/>
        <v>7</v>
      </c>
      <c r="B50" s="101" t="s">
        <v>115</v>
      </c>
      <c r="C50" s="102">
        <v>20</v>
      </c>
      <c r="D50" s="102" t="s">
        <v>67</v>
      </c>
      <c r="E50" s="102" t="s">
        <v>68</v>
      </c>
      <c r="F50" s="102" t="s">
        <v>69</v>
      </c>
      <c r="G50" s="101" t="s">
        <v>249</v>
      </c>
      <c r="H50" s="104" t="s">
        <v>117</v>
      </c>
      <c r="I50" s="98"/>
    </row>
    <row r="51" spans="1:9" ht="15.75" thickBot="1" x14ac:dyDescent="0.35">
      <c r="A51" s="95">
        <f t="shared" si="1"/>
        <v>8</v>
      </c>
      <c r="B51" s="101" t="s">
        <v>118</v>
      </c>
      <c r="C51" s="102">
        <v>4</v>
      </c>
      <c r="D51" s="102" t="s">
        <v>67</v>
      </c>
      <c r="E51" s="102" t="s">
        <v>68</v>
      </c>
      <c r="F51" s="102" t="s">
        <v>69</v>
      </c>
      <c r="G51" s="101" t="s">
        <v>119</v>
      </c>
      <c r="H51" s="103" t="s">
        <v>120</v>
      </c>
      <c r="I51" s="98"/>
    </row>
    <row r="52" spans="1:9" ht="34.5" thickBot="1" x14ac:dyDescent="0.35">
      <c r="A52" s="95">
        <f t="shared" si="1"/>
        <v>9</v>
      </c>
      <c r="B52" s="101" t="s">
        <v>250</v>
      </c>
      <c r="C52" s="95">
        <v>2</v>
      </c>
      <c r="D52" s="95" t="s">
        <v>73</v>
      </c>
      <c r="E52" s="95" t="s">
        <v>68</v>
      </c>
      <c r="F52" s="95" t="s">
        <v>69</v>
      </c>
      <c r="G52" s="96" t="s">
        <v>251</v>
      </c>
      <c r="H52" s="103" t="s">
        <v>252</v>
      </c>
      <c r="I52" s="100"/>
    </row>
    <row r="53" spans="1:9" ht="15.75" thickBot="1" x14ac:dyDescent="0.35">
      <c r="A53" s="95">
        <f t="shared" si="1"/>
        <v>10</v>
      </c>
      <c r="B53" s="96" t="s">
        <v>253</v>
      </c>
      <c r="C53" s="95">
        <v>15</v>
      </c>
      <c r="D53" s="95" t="s">
        <v>67</v>
      </c>
      <c r="E53" s="95">
        <v>2</v>
      </c>
      <c r="F53" s="95" t="s">
        <v>69</v>
      </c>
      <c r="G53" s="96" t="s">
        <v>254</v>
      </c>
      <c r="H53" s="99">
        <v>1400000</v>
      </c>
      <c r="I53" s="98"/>
    </row>
    <row r="54" spans="1:9" ht="15.75" thickBot="1" x14ac:dyDescent="0.35">
      <c r="A54" s="95">
        <f t="shared" si="1"/>
        <v>11</v>
      </c>
      <c r="B54" s="96" t="s">
        <v>95</v>
      </c>
      <c r="C54" s="95">
        <v>3</v>
      </c>
      <c r="D54" s="95" t="s">
        <v>67</v>
      </c>
      <c r="E54" s="95" t="s">
        <v>68</v>
      </c>
      <c r="F54" s="95" t="s">
        <v>69</v>
      </c>
      <c r="G54" s="96" t="s">
        <v>96</v>
      </c>
      <c r="H54" s="99" t="s">
        <v>21</v>
      </c>
      <c r="I54" s="105"/>
    </row>
    <row r="55" spans="1:9" ht="15.75" thickBot="1" x14ac:dyDescent="0.35">
      <c r="A55" s="95">
        <f t="shared" si="1"/>
        <v>12</v>
      </c>
      <c r="B55" s="101" t="s">
        <v>129</v>
      </c>
      <c r="C55" s="102">
        <v>40</v>
      </c>
      <c r="D55" s="102" t="s">
        <v>73</v>
      </c>
      <c r="E55" s="102" t="s">
        <v>68</v>
      </c>
      <c r="F55" s="102" t="s">
        <v>126</v>
      </c>
      <c r="G55" s="101" t="s">
        <v>130</v>
      </c>
      <c r="H55" s="106" t="s">
        <v>131</v>
      </c>
      <c r="I55" s="105"/>
    </row>
    <row r="56" spans="1:9" ht="15.75" thickBot="1" x14ac:dyDescent="0.35">
      <c r="A56" s="95">
        <f t="shared" si="1"/>
        <v>13</v>
      </c>
      <c r="B56" s="96" t="s">
        <v>132</v>
      </c>
      <c r="C56" s="95">
        <v>11</v>
      </c>
      <c r="D56" s="95" t="s">
        <v>67</v>
      </c>
      <c r="E56" s="95" t="s">
        <v>68</v>
      </c>
      <c r="F56" s="95" t="s">
        <v>126</v>
      </c>
      <c r="G56" s="96" t="s">
        <v>133</v>
      </c>
      <c r="H56" s="107" t="s">
        <v>134</v>
      </c>
      <c r="I56" s="105"/>
    </row>
    <row r="57" spans="1:9" ht="15.75" thickBot="1" x14ac:dyDescent="0.35">
      <c r="A57" s="95">
        <f>A56+1</f>
        <v>14</v>
      </c>
      <c r="B57" s="116" t="s">
        <v>265</v>
      </c>
      <c r="C57" s="117">
        <v>2</v>
      </c>
      <c r="D57" s="117" t="s">
        <v>67</v>
      </c>
      <c r="E57" s="117" t="s">
        <v>68</v>
      </c>
      <c r="F57" s="117"/>
      <c r="G57" s="116" t="s">
        <v>266</v>
      </c>
      <c r="H57" s="118"/>
      <c r="I57" s="105"/>
    </row>
    <row r="58" spans="1:9" ht="15.75" thickBot="1" x14ac:dyDescent="0.35">
      <c r="A58" s="95">
        <f t="shared" si="1"/>
        <v>15</v>
      </c>
      <c r="B58" s="116" t="s">
        <v>267</v>
      </c>
      <c r="C58" s="117">
        <v>30</v>
      </c>
      <c r="D58" s="117" t="s">
        <v>73</v>
      </c>
      <c r="E58" s="117" t="s">
        <v>68</v>
      </c>
      <c r="F58" s="117"/>
      <c r="G58" s="116" t="s">
        <v>266</v>
      </c>
      <c r="H58" s="118"/>
      <c r="I58" s="105"/>
    </row>
    <row r="59" spans="1:9" ht="15.75" thickBot="1" x14ac:dyDescent="0.35">
      <c r="A59" s="95">
        <f t="shared" si="1"/>
        <v>16</v>
      </c>
      <c r="B59" s="116" t="s">
        <v>268</v>
      </c>
      <c r="C59" s="117">
        <v>2</v>
      </c>
      <c r="D59" s="117" t="s">
        <v>67</v>
      </c>
      <c r="E59" s="117" t="s">
        <v>68</v>
      </c>
      <c r="F59" s="117"/>
      <c r="G59" s="116" t="s">
        <v>266</v>
      </c>
      <c r="H59" s="118"/>
      <c r="I59" s="105"/>
    </row>
    <row r="60" spans="1:9" ht="15.75" thickBot="1" x14ac:dyDescent="0.35">
      <c r="A60" s="95">
        <f t="shared" si="1"/>
        <v>17</v>
      </c>
      <c r="B60" s="116" t="s">
        <v>269</v>
      </c>
      <c r="C60" s="117">
        <v>30</v>
      </c>
      <c r="D60" s="117" t="s">
        <v>73</v>
      </c>
      <c r="E60" s="117" t="s">
        <v>68</v>
      </c>
      <c r="F60" s="117"/>
      <c r="G60" s="116" t="s">
        <v>266</v>
      </c>
      <c r="H60" s="118"/>
      <c r="I60" s="105"/>
    </row>
    <row r="61" spans="1:9" ht="15.75" thickBot="1" x14ac:dyDescent="0.35">
      <c r="A61" s="95"/>
      <c r="B61" s="96" t="s">
        <v>97</v>
      </c>
      <c r="C61" s="95">
        <f>250 - ( SUM(C44:C58))</f>
        <v>31</v>
      </c>
      <c r="D61" s="95" t="s">
        <v>98</v>
      </c>
      <c r="E61" s="95" t="s">
        <v>98</v>
      </c>
      <c r="F61" s="95"/>
      <c r="G61" s="96"/>
      <c r="H61" s="103"/>
      <c r="I61" s="98"/>
    </row>
    <row r="62" spans="1:9" ht="16.5" customHeight="1" thickBot="1" x14ac:dyDescent="0.35">
      <c r="A62" s="481" t="s">
        <v>255</v>
      </c>
      <c r="B62" s="482"/>
      <c r="C62" s="482"/>
      <c r="D62" s="482"/>
      <c r="E62" s="482"/>
      <c r="F62" s="482"/>
      <c r="G62" s="482"/>
      <c r="H62" s="482"/>
      <c r="I62" s="483"/>
    </row>
    <row r="63" spans="1:9" ht="34.5" thickBot="1" x14ac:dyDescent="0.35">
      <c r="A63" s="95">
        <v>1</v>
      </c>
      <c r="B63" s="96" t="s">
        <v>136</v>
      </c>
      <c r="C63" s="95">
        <v>2</v>
      </c>
      <c r="D63" s="95" t="s">
        <v>73</v>
      </c>
      <c r="E63" s="95" t="s">
        <v>68</v>
      </c>
      <c r="F63" s="95" t="s">
        <v>69</v>
      </c>
      <c r="G63" s="96" t="s">
        <v>256</v>
      </c>
      <c r="H63" s="97" t="s">
        <v>103</v>
      </c>
      <c r="I63" s="98"/>
    </row>
    <row r="64" spans="1:9" ht="34.5" thickBot="1" x14ac:dyDescent="0.35">
      <c r="A64" s="102">
        <f>A63+1</f>
        <v>2</v>
      </c>
      <c r="B64" s="96" t="s">
        <v>270</v>
      </c>
      <c r="C64" s="95">
        <v>1</v>
      </c>
      <c r="D64" s="95" t="s">
        <v>73</v>
      </c>
      <c r="E64" s="95" t="s">
        <v>68</v>
      </c>
      <c r="F64" s="95" t="s">
        <v>69</v>
      </c>
      <c r="G64" s="96" t="s">
        <v>77</v>
      </c>
      <c r="H64" s="465" t="s">
        <v>78</v>
      </c>
      <c r="I64" s="98"/>
    </row>
    <row r="65" spans="1:11" ht="23.25" thickBot="1" x14ac:dyDescent="0.35">
      <c r="A65" s="102">
        <f>A64+1</f>
        <v>3</v>
      </c>
      <c r="B65" s="96" t="s">
        <v>271</v>
      </c>
      <c r="C65" s="95">
        <v>9</v>
      </c>
      <c r="D65" s="95" t="s">
        <v>67</v>
      </c>
      <c r="E65" s="95" t="s">
        <v>68</v>
      </c>
      <c r="F65" s="95" t="s">
        <v>69</v>
      </c>
      <c r="G65" s="96" t="s">
        <v>80</v>
      </c>
      <c r="H65" s="466"/>
      <c r="I65" s="98"/>
    </row>
    <row r="66" spans="1:11" ht="23.25" thickBot="1" x14ac:dyDescent="0.35">
      <c r="A66" s="102">
        <f>A65+1</f>
        <v>4</v>
      </c>
      <c r="B66" s="101" t="s">
        <v>259</v>
      </c>
      <c r="C66" s="102">
        <v>60</v>
      </c>
      <c r="D66" s="102" t="s">
        <v>73</v>
      </c>
      <c r="E66" s="102" t="s">
        <v>68</v>
      </c>
      <c r="F66" s="102" t="s">
        <v>69</v>
      </c>
      <c r="G66" s="101" t="s">
        <v>260</v>
      </c>
      <c r="H66" s="103" t="s">
        <v>261</v>
      </c>
      <c r="I66" s="98"/>
    </row>
    <row r="67" spans="1:11" ht="23.25" thickBot="1" x14ac:dyDescent="0.35">
      <c r="A67" s="102">
        <f>A66+1</f>
        <v>5</v>
      </c>
      <c r="B67" s="101" t="s">
        <v>262</v>
      </c>
      <c r="C67" s="95">
        <v>2</v>
      </c>
      <c r="D67" s="95" t="s">
        <v>73</v>
      </c>
      <c r="E67" s="95" t="s">
        <v>68</v>
      </c>
      <c r="F67" s="95" t="s">
        <v>69</v>
      </c>
      <c r="G67" s="96" t="s">
        <v>272</v>
      </c>
      <c r="H67" s="103" t="s">
        <v>252</v>
      </c>
      <c r="I67" s="98"/>
    </row>
    <row r="68" spans="1:11" ht="15.75" thickBot="1" x14ac:dyDescent="0.35">
      <c r="A68" s="95"/>
      <c r="B68" s="96" t="s">
        <v>97</v>
      </c>
      <c r="C68" s="95">
        <f>250-(SUM(C63:C67))</f>
        <v>176</v>
      </c>
      <c r="D68" s="95" t="s">
        <v>98</v>
      </c>
      <c r="E68" s="95" t="s">
        <v>98</v>
      </c>
      <c r="F68" s="95" t="s">
        <v>69</v>
      </c>
      <c r="G68" s="96" t="s">
        <v>99</v>
      </c>
      <c r="H68" s="103"/>
      <c r="I68" s="98"/>
    </row>
    <row r="69" spans="1:11" ht="15.75" x14ac:dyDescent="0.3">
      <c r="A69" s="119" t="s">
        <v>273</v>
      </c>
      <c r="B69" s="120"/>
      <c r="C69" s="120"/>
      <c r="D69" s="120"/>
      <c r="E69" s="120"/>
      <c r="F69" s="120"/>
      <c r="G69" s="121"/>
      <c r="H69" s="122"/>
      <c r="I69" s="121"/>
      <c r="J69" s="35"/>
      <c r="K69" s="35"/>
    </row>
    <row r="70" spans="1:11" ht="15.75" x14ac:dyDescent="0.3">
      <c r="A70" s="120"/>
      <c r="B70" s="119" t="s">
        <v>148</v>
      </c>
      <c r="C70" s="120"/>
      <c r="D70" s="120"/>
      <c r="E70" s="120"/>
      <c r="F70" s="120"/>
      <c r="G70" s="121"/>
      <c r="H70" s="122"/>
      <c r="I70" s="121"/>
      <c r="J70" s="35"/>
      <c r="K70" s="35"/>
    </row>
    <row r="71" spans="1:11" ht="15.75" x14ac:dyDescent="0.3">
      <c r="A71" s="120"/>
      <c r="B71" s="119" t="s">
        <v>149</v>
      </c>
      <c r="C71" s="120"/>
      <c r="D71" s="120"/>
      <c r="E71" s="120"/>
      <c r="F71" s="120"/>
      <c r="G71" s="121"/>
      <c r="H71" s="122"/>
      <c r="I71" s="121"/>
      <c r="J71" s="35"/>
      <c r="K71" s="35"/>
    </row>
    <row r="72" spans="1:11" ht="15.75" x14ac:dyDescent="0.3">
      <c r="A72" s="120"/>
      <c r="B72" s="119" t="s">
        <v>274</v>
      </c>
      <c r="C72" s="120"/>
      <c r="D72" s="120"/>
      <c r="E72" s="120"/>
      <c r="F72" s="120"/>
      <c r="G72" s="121"/>
      <c r="H72" s="122"/>
      <c r="I72" s="121"/>
      <c r="J72" s="35"/>
      <c r="K72" s="35"/>
    </row>
    <row r="73" spans="1:11" ht="15.75" x14ac:dyDescent="0.3">
      <c r="A73" s="120"/>
      <c r="B73" s="119" t="s">
        <v>275</v>
      </c>
      <c r="C73" s="120"/>
      <c r="D73" s="120"/>
      <c r="E73" s="120"/>
      <c r="F73" s="120"/>
      <c r="G73" s="121"/>
      <c r="H73" s="122"/>
      <c r="I73" s="121"/>
      <c r="J73" s="35"/>
      <c r="K73" s="35"/>
    </row>
    <row r="74" spans="1:11" ht="15.75" x14ac:dyDescent="0.3">
      <c r="A74" s="121"/>
      <c r="B74" s="121"/>
      <c r="C74" s="121"/>
      <c r="D74" s="121"/>
      <c r="E74" s="121"/>
      <c r="F74" s="121"/>
      <c r="G74" s="121"/>
      <c r="H74" s="122"/>
      <c r="I74" s="121"/>
      <c r="J74" s="35"/>
      <c r="K74" s="35"/>
    </row>
    <row r="75" spans="1:11" ht="15.75" x14ac:dyDescent="0.3">
      <c r="A75" s="123" t="s">
        <v>276</v>
      </c>
      <c r="B75" s="124"/>
      <c r="C75" s="124"/>
      <c r="D75" s="124"/>
      <c r="E75" s="124"/>
      <c r="F75" s="124"/>
      <c r="G75" s="124"/>
      <c r="H75" s="125"/>
      <c r="I75" s="126"/>
      <c r="J75" s="35"/>
      <c r="K75" s="35"/>
    </row>
    <row r="76" spans="1:11" ht="15.75" x14ac:dyDescent="0.3">
      <c r="A76" s="127"/>
      <c r="B76" s="121"/>
      <c r="C76" s="121"/>
      <c r="D76" s="121"/>
      <c r="E76" s="121"/>
      <c r="F76" s="121"/>
      <c r="G76" s="121"/>
      <c r="H76" s="122"/>
      <c r="I76" s="121"/>
      <c r="J76" s="35"/>
      <c r="K76" s="35"/>
    </row>
    <row r="77" spans="1:11" x14ac:dyDescent="0.3">
      <c r="A77" s="474" t="s">
        <v>150</v>
      </c>
      <c r="B77" s="474"/>
      <c r="C77" s="474"/>
      <c r="D77" s="474"/>
      <c r="E77" s="474"/>
      <c r="F77" s="474"/>
      <c r="G77" s="474"/>
      <c r="H77" s="474"/>
      <c r="I77" s="474"/>
      <c r="J77" s="35"/>
      <c r="K77" s="35"/>
    </row>
    <row r="78" spans="1:11" ht="15.75" x14ac:dyDescent="0.3">
      <c r="A78" s="121"/>
      <c r="B78" s="128" t="s">
        <v>151</v>
      </c>
      <c r="C78" s="129"/>
      <c r="D78" s="129"/>
      <c r="E78" s="129"/>
      <c r="F78" s="129"/>
      <c r="G78" s="130"/>
      <c r="H78" s="131"/>
      <c r="I78" s="121"/>
      <c r="J78" s="35"/>
      <c r="K78" s="35"/>
    </row>
    <row r="79" spans="1:11" ht="15.75" x14ac:dyDescent="0.3">
      <c r="A79" s="77"/>
      <c r="B79" s="128" t="s">
        <v>152</v>
      </c>
      <c r="C79" s="129"/>
      <c r="D79" s="129"/>
      <c r="E79" s="129"/>
      <c r="F79" s="129"/>
      <c r="G79" s="130"/>
      <c r="H79" s="131"/>
      <c r="I79" s="121"/>
      <c r="J79" s="35"/>
      <c r="K79" s="35"/>
    </row>
    <row r="80" spans="1:11" ht="15.75" x14ac:dyDescent="0.3">
      <c r="A80" s="121"/>
      <c r="B80" s="128" t="s">
        <v>153</v>
      </c>
      <c r="C80" s="129"/>
      <c r="D80" s="129"/>
      <c r="E80" s="129"/>
      <c r="F80" s="129"/>
      <c r="G80" s="130"/>
      <c r="H80" s="131"/>
      <c r="I80" s="121"/>
      <c r="J80" s="35"/>
      <c r="K80" s="35"/>
    </row>
    <row r="81" spans="1:12" ht="15.75" x14ac:dyDescent="0.3">
      <c r="A81" s="121"/>
      <c r="B81" s="128" t="s">
        <v>154</v>
      </c>
      <c r="C81" s="129"/>
      <c r="D81" s="129"/>
      <c r="E81" s="129"/>
      <c r="F81" s="129"/>
      <c r="G81" s="130"/>
      <c r="H81" s="131"/>
      <c r="I81" s="121"/>
      <c r="J81" s="35"/>
      <c r="K81" s="35"/>
    </row>
    <row r="82" spans="1:12" ht="15.75" x14ac:dyDescent="0.3">
      <c r="A82" s="121"/>
      <c r="B82" s="132" t="s">
        <v>155</v>
      </c>
      <c r="C82" s="129"/>
      <c r="D82" s="129"/>
      <c r="E82" s="129"/>
      <c r="F82" s="129"/>
      <c r="G82" s="130"/>
      <c r="H82" s="131"/>
      <c r="I82" s="121"/>
    </row>
    <row r="83" spans="1:12" ht="15.75" x14ac:dyDescent="0.3">
      <c r="A83" s="121"/>
      <c r="B83" s="128" t="s">
        <v>156</v>
      </c>
      <c r="C83" s="129"/>
      <c r="D83" s="129"/>
      <c r="E83" s="129"/>
      <c r="F83" s="129"/>
      <c r="G83" s="130"/>
      <c r="H83" s="131"/>
      <c r="I83" s="121"/>
      <c r="J83" s="50"/>
      <c r="K83" s="50"/>
    </row>
    <row r="84" spans="1:12" ht="15.75" x14ac:dyDescent="0.3">
      <c r="A84" s="121"/>
      <c r="B84" s="128" t="s">
        <v>157</v>
      </c>
      <c r="C84" s="129"/>
      <c r="D84" s="129"/>
      <c r="E84" s="129"/>
      <c r="F84" s="129"/>
      <c r="G84" s="130"/>
      <c r="H84" s="131"/>
      <c r="I84" s="121"/>
    </row>
    <row r="86" spans="1:12" x14ac:dyDescent="0.3">
      <c r="A86" s="133"/>
    </row>
    <row r="88" spans="1:12" x14ac:dyDescent="0.3">
      <c r="A88" s="134"/>
    </row>
    <row r="89" spans="1:12" x14ac:dyDescent="0.3">
      <c r="A89" s="35"/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</row>
    <row r="90" spans="1:12" x14ac:dyDescent="0.3">
      <c r="A90" s="35"/>
      <c r="B90" s="484"/>
      <c r="C90" s="484"/>
      <c r="D90" s="484"/>
      <c r="E90" s="58"/>
      <c r="F90" s="485"/>
      <c r="G90" s="485"/>
      <c r="H90" s="485"/>
      <c r="I90" s="485"/>
      <c r="J90" s="58"/>
      <c r="K90" s="59"/>
      <c r="L90" s="35"/>
    </row>
    <row r="91" spans="1:12" x14ac:dyDescent="0.3">
      <c r="A91" s="35"/>
      <c r="B91" s="135"/>
      <c r="C91" s="136"/>
      <c r="D91" s="136"/>
      <c r="E91" s="136"/>
      <c r="F91" s="60"/>
      <c r="G91" s="60"/>
      <c r="H91" s="60"/>
      <c r="I91" s="60"/>
      <c r="J91" s="60"/>
      <c r="K91" s="60"/>
      <c r="L91" s="35"/>
    </row>
    <row r="92" spans="1:12" x14ac:dyDescent="0.3">
      <c r="A92" s="35"/>
      <c r="B92" s="461"/>
      <c r="C92" s="461"/>
      <c r="D92" s="461"/>
      <c r="E92" s="41"/>
      <c r="F92" s="486"/>
      <c r="G92" s="486"/>
      <c r="H92" s="486"/>
      <c r="I92" s="486"/>
      <c r="J92" s="35"/>
      <c r="K92" s="35"/>
      <c r="L92" s="35"/>
    </row>
    <row r="93" spans="1:12" x14ac:dyDescent="0.3">
      <c r="A93" s="35"/>
      <c r="B93" s="461"/>
      <c r="C93" s="461"/>
      <c r="D93" s="461"/>
      <c r="E93" s="41"/>
      <c r="F93" s="487"/>
      <c r="G93" s="487"/>
      <c r="H93" s="487"/>
      <c r="I93" s="487"/>
      <c r="J93" s="35"/>
      <c r="K93" s="35"/>
      <c r="L93" s="35"/>
    </row>
    <row r="94" spans="1:12" x14ac:dyDescent="0.3">
      <c r="A94" s="35"/>
      <c r="B94" s="461"/>
      <c r="C94" s="461"/>
      <c r="D94" s="461"/>
      <c r="E94" s="41"/>
      <c r="F94" s="462"/>
      <c r="G94" s="462"/>
      <c r="H94" s="462"/>
      <c r="I94" s="462"/>
      <c r="J94" s="35"/>
      <c r="K94" s="35"/>
      <c r="L94" s="35"/>
    </row>
    <row r="95" spans="1:12" x14ac:dyDescent="0.3">
      <c r="A95" s="35"/>
      <c r="B95" s="461"/>
      <c r="C95" s="461"/>
      <c r="D95" s="461"/>
      <c r="E95" s="41"/>
      <c r="F95" s="462"/>
      <c r="G95" s="462"/>
      <c r="H95" s="462"/>
      <c r="I95" s="462"/>
      <c r="J95" s="35"/>
      <c r="K95" s="35"/>
      <c r="L95" s="35"/>
    </row>
    <row r="96" spans="1:12" x14ac:dyDescent="0.3">
      <c r="A96" s="35"/>
      <c r="B96" s="461"/>
      <c r="C96" s="461"/>
      <c r="D96" s="461"/>
      <c r="E96" s="41"/>
      <c r="F96" s="486"/>
      <c r="G96" s="486"/>
      <c r="H96" s="486"/>
      <c r="I96" s="486"/>
      <c r="J96" s="35"/>
      <c r="K96" s="35"/>
      <c r="L96" s="35"/>
    </row>
    <row r="97" spans="1:12" x14ac:dyDescent="0.3">
      <c r="A97" s="35"/>
      <c r="B97" s="461"/>
      <c r="C97" s="461"/>
      <c r="D97" s="461"/>
      <c r="E97" s="137"/>
      <c r="F97" s="489"/>
      <c r="G97" s="489"/>
      <c r="H97" s="489"/>
      <c r="I97" s="489"/>
      <c r="J97" s="35"/>
      <c r="K97" s="35"/>
      <c r="L97" s="35"/>
    </row>
    <row r="98" spans="1:12" x14ac:dyDescent="0.3">
      <c r="A98" s="35"/>
      <c r="B98" s="461"/>
      <c r="C98" s="461"/>
      <c r="D98" s="461"/>
      <c r="E98" s="137"/>
      <c r="F98" s="488"/>
      <c r="G98" s="489"/>
      <c r="H98" s="489"/>
      <c r="I98" s="489"/>
      <c r="J98" s="35"/>
      <c r="K98" s="35"/>
      <c r="L98" s="35"/>
    </row>
    <row r="99" spans="1:12" x14ac:dyDescent="0.3">
      <c r="A99" s="35"/>
      <c r="B99" s="461"/>
      <c r="C99" s="461"/>
      <c r="D99" s="461"/>
      <c r="E99" s="41"/>
      <c r="F99" s="462"/>
      <c r="G99" s="462"/>
      <c r="H99" s="462"/>
      <c r="I99" s="462"/>
      <c r="J99" s="35"/>
      <c r="K99" s="35"/>
      <c r="L99" s="35"/>
    </row>
    <row r="100" spans="1:12" x14ac:dyDescent="0.3">
      <c r="A100" s="35"/>
      <c r="B100" s="461"/>
      <c r="C100" s="461"/>
      <c r="D100" s="461"/>
      <c r="E100" s="41"/>
      <c r="F100" s="462"/>
      <c r="G100" s="462"/>
      <c r="H100" s="462"/>
      <c r="I100" s="462"/>
      <c r="J100" s="35"/>
      <c r="K100" s="35"/>
      <c r="L100" s="35"/>
    </row>
    <row r="101" spans="1:12" x14ac:dyDescent="0.3">
      <c r="A101" s="35"/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</row>
    <row r="102" spans="1:12" x14ac:dyDescent="0.3">
      <c r="A102" s="35"/>
      <c r="B102" s="138"/>
      <c r="C102" s="35"/>
      <c r="D102" s="35"/>
      <c r="E102" s="35"/>
      <c r="F102" s="35"/>
      <c r="G102" s="35"/>
      <c r="H102" s="35"/>
      <c r="I102" s="35"/>
      <c r="J102" s="35"/>
      <c r="K102" s="35"/>
      <c r="L102" s="35"/>
    </row>
    <row r="103" spans="1:12" x14ac:dyDescent="0.3">
      <c r="A103" s="35"/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</row>
    <row r="104" spans="1:12" x14ac:dyDescent="0.3">
      <c r="A104" s="35"/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</row>
    <row r="105" spans="1:12" x14ac:dyDescent="0.3">
      <c r="A105" s="35"/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</row>
    <row r="106" spans="1:12" x14ac:dyDescent="0.3">
      <c r="A106" s="35"/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</row>
    <row r="107" spans="1:12" x14ac:dyDescent="0.3">
      <c r="A107" s="35"/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</row>
  </sheetData>
  <mergeCells count="34">
    <mergeCell ref="B94:D94"/>
    <mergeCell ref="F94:I94"/>
    <mergeCell ref="B96:D96"/>
    <mergeCell ref="F96:I96"/>
    <mergeCell ref="B100:D100"/>
    <mergeCell ref="F100:I100"/>
    <mergeCell ref="B98:D98"/>
    <mergeCell ref="F98:I98"/>
    <mergeCell ref="B99:D99"/>
    <mergeCell ref="F99:I99"/>
    <mergeCell ref="B97:D97"/>
    <mergeCell ref="F97:I97"/>
    <mergeCell ref="A40:I40"/>
    <mergeCell ref="H46:H47"/>
    <mergeCell ref="B92:D92"/>
    <mergeCell ref="F92:I92"/>
    <mergeCell ref="B93:D93"/>
    <mergeCell ref="F93:I93"/>
    <mergeCell ref="H64:H65"/>
    <mergeCell ref="A77:I77"/>
    <mergeCell ref="B95:D95"/>
    <mergeCell ref="F95:I95"/>
    <mergeCell ref="A8:I8"/>
    <mergeCell ref="A9:I9"/>
    <mergeCell ref="A11:I11"/>
    <mergeCell ref="H16:H17"/>
    <mergeCell ref="H30:H31"/>
    <mergeCell ref="A39:I39"/>
    <mergeCell ref="A12:I12"/>
    <mergeCell ref="A28:I28"/>
    <mergeCell ref="A42:I42"/>
    <mergeCell ref="A62:I62"/>
    <mergeCell ref="B90:D90"/>
    <mergeCell ref="F90:I90"/>
  </mergeCells>
  <phoneticPr fontId="13" type="noConversion"/>
  <hyperlinks>
    <hyperlink ref="H25" r:id="rId1" xr:uid="{00000000-0004-0000-1600-000000000000}"/>
    <hyperlink ref="H55" r:id="rId2" xr:uid="{00000000-0004-0000-1600-000001000000}"/>
  </hyperlinks>
  <pageMargins left="0.75" right="0.75" top="1" bottom="1" header="0" footer="0"/>
  <pageSetup orientation="portrait" verticalDpi="1200" r:id="rId3"/>
  <headerFooter alignWithMargins="0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6" name="Button 1">
              <controlPr defaultSize="0" print="0" autoFill="0" autoPict="0" macro="[0]!Portada_AlHacerClic">
                <anchor moveWithCells="1" sizeWithCells="1">
                  <from>
                    <xdr:col>43</xdr:col>
                    <xdr:colOff>123825</xdr:colOff>
                    <xdr:row>18</xdr:row>
                    <xdr:rowOff>276225</xdr:rowOff>
                  </from>
                  <to>
                    <xdr:col>44</xdr:col>
                    <xdr:colOff>390525</xdr:colOff>
                    <xdr:row>20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spe:Receivers xmlns:spe="http://schemas.microsoft.com/sharepoint/events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Formularios Publicados" ma:contentTypeID="0x010100E64B8882B61D5E42BCBBF6A8C841038D0400AF75A913774F364EBEE5386B7711C254" ma:contentTypeVersion="157" ma:contentTypeDescription="" ma:contentTypeScope="" ma:versionID="129fc8c3e9b671494e65ef19e5effd50">
  <xsd:schema xmlns:xsd="http://www.w3.org/2001/XMLSchema" xmlns:xs="http://www.w3.org/2001/XMLSchema" xmlns:p="http://schemas.microsoft.com/office/2006/metadata/properties" xmlns:ns1="03502172-5daf-4904-8d50-82a68383615d" xmlns:ns3="aca0851f-7352-4ef8-bb2e-baa2847a64a2" targetNamespace="http://schemas.microsoft.com/office/2006/metadata/properties" ma:root="true" ma:fieldsID="b9a249a4a4b8e3409c3462adac8ad2db" ns1:_="" ns3:_="">
    <xsd:import namespace="03502172-5daf-4904-8d50-82a68383615d"/>
    <xsd:import namespace="aca0851f-7352-4ef8-bb2e-baa2847a64a2"/>
    <xsd:element name="properties">
      <xsd:complexType>
        <xsd:sequence>
          <xsd:element name="documentManagement">
            <xsd:complexType>
              <xsd:all>
                <xsd:element ref="ns1:TipoDocumento" minOccurs="0"/>
                <xsd:element ref="ns1:RubroFormulario" minOccurs="0"/>
                <xsd:element ref="ns1:SubRubroForm" minOccurs="0"/>
                <xsd:element ref="ns3:Sub_x0020_Rubro_x0020_1" minOccurs="0"/>
                <xsd:element ref="ns1:CodigoDocumento" minOccurs="0"/>
                <xsd:element ref="ns1:FechaVigencia" minOccurs="0"/>
                <xsd:element ref="ns1:FechaProxRevision" minOccurs="0"/>
                <xsd:element ref="ns1:estatusDocumentos" minOccurs="0"/>
                <xsd:element ref="ns1:FechaPublicacion" minOccurs="0"/>
                <xsd:element ref="ns1:Regulacion" minOccurs="0"/>
                <xsd:element ref="ns1:DocumentosRelacionados" minOccurs="0"/>
                <xsd:element ref="ns3:Uso_x0020_de_x0020_la_x0020_Información" minOccurs="0"/>
                <xsd:element ref="ns1:MailNotification" minOccurs="0"/>
                <xsd:element ref="ns1:SolicitudForm" minOccurs="0"/>
                <xsd:element ref="ns1:PE" minOccurs="0"/>
                <xsd:element ref="ns1:Revisores" minOccurs="0"/>
                <xsd:element ref="ns1:CodReferencia" minOccurs="0"/>
                <xsd:element ref="ns1:Formularios_x002f_Registros_x0020_Involucrados" minOccurs="0"/>
                <xsd:element ref="ns1:Edicion" minOccurs="0"/>
                <xsd:element ref="ns1:Asignado" minOccurs="0"/>
                <xsd:element ref="ns1:Coordinador" minOccurs="0"/>
                <xsd:element ref="ns1:Notificación_x0020_Vencimiento_x0020_Enviada" minOccurs="0"/>
                <xsd:element ref="ns1:Unidad_x0020_Responsable" minOccurs="0"/>
                <xsd:element ref="ns1:Rubro" minOccurs="0"/>
                <xsd:element ref="ns1:FieldName_A7A705DE_81B2_4D0D_818C_290B142A7057_" minOccurs="0"/>
                <xsd:element ref="ns1:Aprobadores_x0020__x0028_Cargo_x0029_" minOccurs="0"/>
                <xsd:element ref="ns1:EstatusDocPublicados" minOccurs="0"/>
                <xsd:element ref="ns1:_dlc_DocIdUrl" minOccurs="0"/>
                <xsd:element ref="ns1:TipoPublicacion" minOccurs="0"/>
                <xsd:element ref="ns1:usuarios" minOccurs="0"/>
                <xsd:element ref="ns1:Aprobadores" minOccurs="0"/>
                <xsd:element ref="ns1:CoordinadroGrupo" minOccurs="0"/>
                <xsd:element ref="ns1:SolicitudAsociadaForm" minOccurs="0"/>
                <xsd:element ref="ns1:Centros_x0020_de_x0020_Costo" minOccurs="0"/>
                <xsd:element ref="ns1:SubRubroTxt" minOccurs="0"/>
                <xsd:element ref="ns1:_dlc_DocIdPersistId" minOccurs="0"/>
                <xsd:element ref="ns1:NoSolicitudForm" minOccurs="0"/>
                <xsd:element ref="ns1:_dlc_DocId" minOccurs="0"/>
                <xsd:element ref="ns1:RevisoresCargo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502172-5daf-4904-8d50-82a68383615d" elementFormDefault="qualified">
    <xsd:import namespace="http://schemas.microsoft.com/office/2006/documentManagement/types"/>
    <xsd:import namespace="http://schemas.microsoft.com/office/infopath/2007/PartnerControls"/>
    <xsd:element name="TipoDocumento" ma:index="0" nillable="true" ma:displayName="Tipo de Documento" ma:format="Dropdown" ma:internalName="TipoDocumento" ma:readOnly="false">
      <xsd:simpleType>
        <xsd:restriction base="dms:Choice">
          <xsd:enumeration value="Manual de Normas y Procedimientos"/>
          <xsd:enumeration value="Manual de Organización"/>
          <xsd:enumeration value="Manual de Usuario"/>
          <xsd:enumeration value="Guía de Ayuda"/>
          <xsd:enumeration value="Circular"/>
          <xsd:enumeration value="Formulario"/>
        </xsd:restriction>
      </xsd:simpleType>
    </xsd:element>
    <xsd:element name="RubroFormulario" ma:index="2" nillable="true" ma:displayName="Rubro" ma:list="{e3799b2b-8491-4a58-8358-a3aebc66b6f1}" ma:internalName="RubroFormulario" ma:readOnly="false" ma:showField="Title" ma:web="aca0851f-7352-4ef8-bb2e-baa2847a64a2">
      <xsd:simpleType>
        <xsd:restriction base="dms:Lookup"/>
      </xsd:simpleType>
    </xsd:element>
    <xsd:element name="SubRubroForm" ma:index="3" nillable="true" ma:displayName="Sub Rubro" ma:list="{e3799b2b-8491-4a58-8358-a3aebc66b6f1}" ma:internalName="SubRubroForm" ma:showField="SubRubro" ma:web="aca0851f-7352-4ef8-bb2e-baa2847a64a2">
      <xsd:simpleType>
        <xsd:restriction base="dms:Lookup"/>
      </xsd:simpleType>
    </xsd:element>
    <xsd:element name="CodigoDocumento" ma:index="5" nillable="true" ma:displayName="Código" ma:description="" ma:internalName="CodigoDocumento">
      <xsd:simpleType>
        <xsd:restriction base="dms:Text">
          <xsd:maxLength value="255"/>
        </xsd:restriction>
      </xsd:simpleType>
    </xsd:element>
    <xsd:element name="FechaVigencia" ma:index="7" nillable="true" ma:displayName="Vigente a partir de" ma:format="DateOnly" ma:internalName="Vigente_x0020_a_x0020_partir_x0020_de">
      <xsd:simpleType>
        <xsd:restriction base="dms:DateTime"/>
      </xsd:simpleType>
    </xsd:element>
    <xsd:element name="FechaProxRevision" ma:index="8" nillable="true" ma:displayName="Próxima Revisión" ma:format="DateOnly" ma:internalName="FechaProxRevision">
      <xsd:simpleType>
        <xsd:restriction base="dms:DateTime"/>
      </xsd:simpleType>
    </xsd:element>
    <xsd:element name="estatusDocumentos" ma:index="9" nillable="true" ma:displayName="Estatus de Documentos" ma:default="En Desarrollo" ma:description="" ma:format="Dropdown" ma:internalName="estatusDocumentos" ma:readOnly="false">
      <xsd:simpleType>
        <xsd:restriction base="dms:Choice">
          <xsd:enumeration value="En Desarrollo"/>
          <xsd:enumeration value="Sin Efecto"/>
          <xsd:enumeration value="En Revisión Interna"/>
          <xsd:enumeration value="Revisión Interna"/>
          <xsd:enumeration value="En Revisión Externa"/>
          <xsd:enumeration value="Revisión Externa"/>
          <xsd:enumeration value="Revisado"/>
          <xsd:enumeration value="En Aprobación"/>
          <xsd:enumeration value="Aprobado"/>
          <xsd:enumeration value="En Publicación"/>
          <xsd:enumeration value="Publicado"/>
          <xsd:enumeration value="Derogado"/>
        </xsd:restriction>
      </xsd:simpleType>
    </xsd:element>
    <xsd:element name="FechaPublicacion" ma:index="10" nillable="true" ma:displayName="Fecha de Publicación" ma:default="[today]" ma:format="DateOnly" ma:internalName="FechaPublicacion">
      <xsd:simpleType>
        <xsd:restriction base="dms:DateTime"/>
      </xsd:simpleType>
    </xsd:element>
    <xsd:element name="Regulacion" ma:index="11" nillable="true" ma:displayName="Regulación/Legislación Asociada" ma:internalName="Regulacion0">
      <xsd:simpleType>
        <xsd:restriction base="dms:Note"/>
      </xsd:simpleType>
    </xsd:element>
    <xsd:element name="DocumentosRelacionados" ma:index="12" nillable="true" ma:displayName="Documentos Relacionados" ma:internalName="DocumentosRelacionados">
      <xsd:simpleType>
        <xsd:restriction base="dms:Note"/>
      </xsd:simpleType>
    </xsd:element>
    <xsd:element name="MailNotification" ma:index="16" nillable="true" ma:displayName="Notificación" ma:default="0" ma:internalName="MailNotification">
      <xsd:simpleType>
        <xsd:restriction base="dms:Boolean"/>
      </xsd:simpleType>
    </xsd:element>
    <xsd:element name="SolicitudForm" ma:index="18" nillable="true" ma:displayName="No. Solicitud" ma:hidden="true" ma:list="{c766f464-88cb-4977-bf50-6fda27a64bfc}" ma:internalName="SolicitudForm" ma:readOnly="false" ma:showField="Title" ma:web="aca0851f-7352-4ef8-bb2e-baa2847a64a2">
      <xsd:simpleType>
        <xsd:restriction base="dms:Lookup"/>
      </xsd:simpleType>
    </xsd:element>
    <xsd:element name="PE" ma:index="19" nillable="true" ma:displayName="PE" ma:default="no" ma:internalName="PE" ma:readOnly="false">
      <xsd:simpleType>
        <xsd:restriction base="dms:Text">
          <xsd:maxLength value="10"/>
        </xsd:restriction>
      </xsd:simpleType>
    </xsd:element>
    <xsd:element name="Revisores" ma:index="20" nillable="true" ma:displayName="Revisores (Nombres)" ma:hidden="true" ma:list="UserInfo" ma:SharePointGroup="17" ma:internalName="Revisores" ma:readOnly="false" ma:showField="Titl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CodReferencia" ma:index="21" nillable="true" ma:displayName="Referencia" ma:hidden="true" ma:internalName="CodReferencia" ma:readOnly="false">
      <xsd:simpleType>
        <xsd:restriction base="dms:Text">
          <xsd:maxLength value="255"/>
        </xsd:restriction>
      </xsd:simpleType>
    </xsd:element>
    <xsd:element name="Formularios_x002f_Registros_x0020_Involucrados" ma:index="22" nillable="true" ma:displayName="Formularios/Registros Involucrados" ma:hidden="true" ma:internalName="Formularios_x002F_Registros_x0020_Involucrados" ma:readOnly="false">
      <xsd:simpleType>
        <xsd:restriction base="dms:Note"/>
      </xsd:simpleType>
    </xsd:element>
    <xsd:element name="Edicion" ma:index="23" nillable="true" ma:displayName="Edición" ma:hidden="true" ma:internalName="Edicion" ma:readOnly="false">
      <xsd:simpleType>
        <xsd:restriction base="dms:Text">
          <xsd:maxLength value="255"/>
        </xsd:restriction>
      </xsd:simpleType>
    </xsd:element>
    <xsd:element name="Asignado" ma:index="24" nillable="true" ma:displayName="Analista Asignado" ma:description="" ma:hidden="true" ma:list="UserInfo" ma:SharePointGroup="0" ma:internalName="Asignado" ma:readOnly="false" ma:showField="Titl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Coordinador" ma:index="25" nillable="true" ma:displayName="Coordinador" ma:hidden="true" ma:list="UserInfo" ma:SharePointGroup="0" ma:internalName="Coordinador" ma:readOnly="fals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Notificación_x0020_Vencimiento_x0020_Enviada" ma:index="26" nillable="true" ma:displayName="Notificación Vencimiento Enviada" ma:hidden="true" ma:internalName="Notificaci_x00f3_n_x0020_Vencimiento_x0020_Enviada" ma:readOnly="false">
      <xsd:simpleType>
        <xsd:restriction base="dms:Text">
          <xsd:maxLength value="255"/>
        </xsd:restriction>
      </xsd:simpleType>
    </xsd:element>
    <xsd:element name="Unidad_x0020_Responsable" ma:index="27" nillable="true" ma:displayName="Unidad Responsable" ma:hidden="true" ma:internalName="Unidad_x0020_Responsable" ma:readOnly="false">
      <xsd:simpleType>
        <xsd:restriction base="dms:Note"/>
      </xsd:simpleType>
    </xsd:element>
    <xsd:element name="Rubro" ma:index="28" nillable="true" ma:displayName="Rubrotxt" ma:hidden="true" ma:internalName="Rubro" ma:readOnly="false">
      <xsd:simpleType>
        <xsd:restriction base="dms:Text">
          <xsd:maxLength value="70"/>
        </xsd:restriction>
      </xsd:simpleType>
    </xsd:element>
    <xsd:element name="FieldName_A7A705DE_81B2_4D0D_818C_290B142A7057_" ma:index="29" nillable="true" ma:displayName="NivelNivelComplejidad" ma:description="" ma:format="Dropdown" ma:hidden="true" ma:internalName="FieldName_A7A705DE_81B2_4D0D_818C_290B142A7057_" ma:readOnly="false">
      <xsd:simpleType>
        <xsd:restriction base="dms:Choice">
          <xsd:enumeration value="Alta"/>
          <xsd:enumeration value="Media"/>
          <xsd:enumeration value="Baja"/>
        </xsd:restriction>
      </xsd:simpleType>
    </xsd:element>
    <xsd:element name="Aprobadores_x0020__x0028_Cargo_x0029_" ma:index="30" nillable="true" ma:displayName="Aprobadores (Cargo)" ma:hidden="true" ma:internalName="Aprobadores_x0020__x0028_Cargo_x0029_" ma:readOnly="false">
      <xsd:simpleType>
        <xsd:restriction base="dms:Note"/>
      </xsd:simpleType>
    </xsd:element>
    <xsd:element name="EstatusDocPublicados" ma:index="35" nillable="true" ma:displayName="Estatus" ma:default="Vigente - Actualizado" ma:format="Dropdown" ma:hidden="true" ma:internalName="EstatusDocPublicados" ma:readOnly="false">
      <xsd:simpleType>
        <xsd:restriction base="dms:Choice">
          <xsd:enumeration value="Vigente - Actualizado"/>
          <xsd:enumeration value="Vigente - Desactualizado"/>
          <xsd:enumeration value="Vigente - Obsoleto"/>
          <xsd:enumeration value="Vigente - Desuso"/>
          <xsd:enumeration value="Derogado"/>
        </xsd:restriction>
      </xsd:simpleType>
    </xsd:element>
    <xsd:element name="_dlc_DocIdUrl" ma:index="40" nillable="true" ma:displayName="Id. de documento" ma:description="Vínculo permanente a este documento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TipoPublicacion" ma:index="43" nillable="true" ma:displayName="Tipo de Publicación" ma:format="Dropdown" ma:hidden="true" ma:internalName="TipoPublicacion" ma:readOnly="false">
      <xsd:simpleType>
        <xsd:restriction base="dms:Choice">
          <xsd:enumeration value="Acceso Restringido"/>
          <xsd:enumeration value="Acceso Público"/>
        </xsd:restriction>
      </xsd:simpleType>
    </xsd:element>
    <xsd:element name="usuarios" ma:index="44" nillable="true" ma:displayName="Usuarios" ma:description="Llene este campo con los usuarios que pueden ver el documento, si se selecciona acceso restringido." ma:hidden="true" ma:list="UserInfo" ma:SearchPeopleOnly="false" ma:SharePointGroup="0" ma:internalName="usuarios" ma:readOnly="fals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probadores" ma:index="47" nillable="true" ma:displayName="Aprobadores (Nombre)" ma:hidden="true" ma:list="UserInfo" ma:SharePointGroup="17" ma:internalName="Aprobadores" ma:readOnly="false" ma:showField="Titl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CoordinadroGrupo" ma:index="49" nillable="true" ma:displayName="NombreCoordinador" ma:hidden="true" ma:list="UserInfo" ma:SearchPeopleOnly="false" ma:SharePointGroup="0" ma:internalName="CoordinadroGrupo" ma:readOnly="false" ma:showField="Titl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olicitudAsociadaForm" ma:index="50" nillable="true" ma:displayName="Solicitud Asociada Formulario" ma:hidden="true" ma:list="{c766f464-88cb-4977-bf50-6fda27a64bfc}" ma:internalName="SolicitudAsociadaForm" ma:readOnly="false" ma:showField="Title" ma:web="aca0851f-7352-4ef8-bb2e-baa2847a64a2">
      <xsd:simpleType>
        <xsd:restriction base="dms:Lookup"/>
      </xsd:simpleType>
    </xsd:element>
    <xsd:element name="Centros_x0020_de_x0020_Costo" ma:index="51" nillable="true" ma:displayName="Centros de Costo" ma:description="Ingrese uno o varios códigos de Centro de Costo separados por coma." ma:hidden="true" ma:internalName="Centros_x0020_de_x0020_Costo" ma:readOnly="false">
      <xsd:simpleType>
        <xsd:restriction base="dms:Text">
          <xsd:maxLength value="255"/>
        </xsd:restriction>
      </xsd:simpleType>
    </xsd:element>
    <xsd:element name="SubRubroTxt" ma:index="52" nillable="true" ma:displayName="SubRubroTxt" ma:hidden="true" ma:internalName="SubRubroTxt" ma:readOnly="false">
      <xsd:simpleType>
        <xsd:restriction base="dms:Text">
          <xsd:maxLength value="255"/>
        </xsd:restriction>
      </xsd:simpleType>
    </xsd:element>
    <xsd:element name="_dlc_DocIdPersistId" ma:index="53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NoSolicitudForm" ma:index="54" nillable="true" ma:displayName="No. de Solicitud" ma:hidden="true" ma:list="{c766f464-88cb-4977-bf50-6fda27a64bfc}" ma:internalName="NoSolicitudForm" ma:readOnly="false" ma:showField="NumSolicitud" ma:web="aca0851f-7352-4ef8-bb2e-baa2847a64a2">
      <xsd:simpleType>
        <xsd:restriction base="dms:Lookup"/>
      </xsd:simpleType>
    </xsd:element>
    <xsd:element name="_dlc_DocId" ma:index="55" nillable="true" ma:displayName="Valor de Id. de documento" ma:description="El valor del identificador de documento asignado a este elemento." ma:internalName="_dlc_DocId" ma:readOnly="true">
      <xsd:simpleType>
        <xsd:restriction base="dms:Text"/>
      </xsd:simpleType>
    </xsd:element>
    <xsd:element name="RevisoresCargo" ma:index="57" nillable="true" ma:displayName="Revisores (Cargo)" ma:hidden="true" ma:internalName="RevisoresCargo" ma:readOnly="fals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a0851f-7352-4ef8-bb2e-baa2847a64a2" elementFormDefault="qualified">
    <xsd:import namespace="http://schemas.microsoft.com/office/2006/documentManagement/types"/>
    <xsd:import namespace="http://schemas.microsoft.com/office/infopath/2007/PartnerControls"/>
    <xsd:element name="Sub_x0020_Rubro_x0020_1" ma:index="4" nillable="true" ma:displayName="Sub Rubro 1" ma:list="{e3799b2b-8491-4a58-8358-a3aebc66b6f1}" ma:internalName="Sub_x0020_Rubro_x0020_1" ma:showField="SubsubRubro" ma:web="aca0851f-7352-4ef8-bb2e-baa2847a64a2">
      <xsd:simpleType>
        <xsd:restriction base="dms:Lookup"/>
      </xsd:simpleType>
    </xsd:element>
    <xsd:element name="Uso_x0020_de_x0020_la_x0020_Información" ma:index="13" nillable="true" ma:displayName="Uso de la Información" ma:format="Dropdown" ma:internalName="Uso_x0020_de_x0020_la_x0020_Informaci_x00f3_n" ma:readOnly="false">
      <xsd:simpleType>
        <xsd:restriction base="dms:Choice">
          <xsd:enumeration value="Privada"/>
          <xsd:enumeration value="Pública"/>
          <xsd:enumeration value="Confidencial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41" ma:displayName="Tipo de contenido"/>
        <xsd:element ref="dc:title" minOccurs="0" maxOccurs="1" ma:index="6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customXsn xmlns="http://schemas.microsoft.com/office/2006/metadata/customXsn">
  <xsnLocation>http://bodapps100/Formulario/Forms/Formularios Publicados/a3d71d1e7bdefb5customXsn.xsn</xsnLocation>
  <cached>False</cached>
  <openByDefault>False</openByDefault>
  <xsnScope>http://bodapps100/Formulario</xsnScope>
</customXsn>
</file>

<file path=customXml/item4.xml><?xml version="1.0" encoding="utf-8"?>
<LongProperties xmlns="http://schemas.microsoft.com/office/2006/metadata/longProperties">
  <LongProp xmlns="" name="WorkflowCreationPath"><![CDATA[aa72e77e-e9de-4321-8110-fa34fa94b01d,48;aa72e77e-e9de-4321-8110-fa34fa94b01d,55;ba409635-4a99-4154-ae7b-8054a4c58357,57;ba409635-4a99-4154-ae7b-8054a4c58357,57;ba409635-4a99-4154-ae7b-8054a4c58357,81;145be24f-45a9-4c49-8b3d-f45895ff95f8,83;aa72e77e-e9de-4321-8110-fa34fa94b01d,19;aa72e77e-e9de-4321-8110-fa34fa94b01d,20;aa72e77e-e9de-4321-8110-fa34fa94b01d,21;aa72e77e-e9de-4321-8110-fa34fa94b01d,23;aa72e77e-e9de-4321-8110-fa34fa94b01d,24;ba409635-4a99-4154-ae7b-8054a4c58357,25;ba409635-4a99-4154-ae7b-8054a4c58357,25;ba409635-4a99-4154-ae7b-8054a4c58357,26;ba409635-4a99-4154-ae7b-8054a4c58357,27;ba409635-4a99-4154-ae7b-8054a4c58357,27;ba409635-4a99-4154-ae7b-8054a4c58357,28;145be24f-45a9-4c49-8b3d-f45895ff95f8,34;ba409635-4a99-4154-ae7b-8054a4c58357,9;ba409635-4a99-4154-ae7b-8054a4c58357,9;ba409635-4a99-4154-ae7b-8054a4c58357,10;145be24f-45a9-4c49-8b3d-f45895ff95f8,15;]]></LongProp>
</LongPropertie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F9BCC73-C9BB-497C-AE05-5A028592B5F6}">
  <ds:schemaRefs>
    <ds:schemaRef ds:uri="http://schemas.microsoft.com/sharepoint/events"/>
    <ds:schemaRef ds:uri="http://www.w3.org/2000/xmlns/"/>
  </ds:schemaRefs>
</ds:datastoreItem>
</file>

<file path=customXml/itemProps2.xml><?xml version="1.0" encoding="utf-8"?>
<ds:datastoreItem xmlns:ds="http://schemas.openxmlformats.org/officeDocument/2006/customXml" ds:itemID="{A9840908-D3C2-41D9-9F72-973303B45C66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03502172-5daf-4904-8d50-82a68383615d"/>
    <ds:schemaRef ds:uri="aca0851f-7352-4ef8-bb2e-baa2847a64a2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6FE4A28-7769-4544-9FD9-B6843027CDD0}">
  <ds:schemaRefs>
    <ds:schemaRef ds:uri="http://schemas.microsoft.com/office/2006/metadata/customXsn"/>
  </ds:schemaRefs>
</ds:datastoreItem>
</file>

<file path=customXml/itemProps4.xml><?xml version="1.0" encoding="utf-8"?>
<ds:datastoreItem xmlns:ds="http://schemas.openxmlformats.org/officeDocument/2006/customXml" ds:itemID="{83468EEE-2C22-40BB-AE78-0FE525E36ADC}">
  <ds:schemaRefs>
    <ds:schemaRef ds:uri="http://schemas.microsoft.com/office/2006/metadata/longProperties"/>
    <ds:schemaRef ds:uri=""/>
  </ds:schemaRefs>
</ds:datastoreItem>
</file>

<file path=customXml/itemProps5.xml><?xml version="1.0" encoding="utf-8"?>
<ds:datastoreItem xmlns:ds="http://schemas.openxmlformats.org/officeDocument/2006/customXml" ds:itemID="{AE15CFF2-FBDC-4B5E-BFFF-CA28E3ACB51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12</vt:i4>
      </vt:variant>
      <vt:variant>
        <vt:lpstr>Macros de Excel 4.0</vt:lpstr>
      </vt:variant>
      <vt:variant>
        <vt:i4>9</vt:i4>
      </vt:variant>
      <vt:variant>
        <vt:lpstr>Rangos con nombre</vt:lpstr>
      </vt:variant>
      <vt:variant>
        <vt:i4>26</vt:i4>
      </vt:variant>
    </vt:vector>
  </HeadingPairs>
  <TitlesOfParts>
    <vt:vector size="47" baseType="lpstr">
      <vt:lpstr>Menu</vt:lpstr>
      <vt:lpstr>Menu2</vt:lpstr>
      <vt:lpstr>Ordenes de Pago</vt:lpstr>
      <vt:lpstr>Beneficiarios de Pago</vt:lpstr>
      <vt:lpstr>Hoja2</vt:lpstr>
      <vt:lpstr>Ayuda1</vt:lpstr>
      <vt:lpstr>Ayuda</vt:lpstr>
      <vt:lpstr>BANCOS</vt:lpstr>
      <vt:lpstr>Macros</vt:lpstr>
      <vt:lpstr>BANCOSB</vt:lpstr>
      <vt:lpstr>Hoja3</vt:lpstr>
      <vt:lpstr>Ayuda_Benef</vt:lpstr>
      <vt:lpstr>Macro9</vt:lpstr>
      <vt:lpstr>Macro8</vt:lpstr>
      <vt:lpstr>Macro7</vt:lpstr>
      <vt:lpstr>Macro6</vt:lpstr>
      <vt:lpstr>Macro5</vt:lpstr>
      <vt:lpstr>Macro4</vt:lpstr>
      <vt:lpstr>Macro3</vt:lpstr>
      <vt:lpstr>Macro2</vt:lpstr>
      <vt:lpstr>Macro1</vt:lpstr>
      <vt:lpstr>_Null</vt:lpstr>
      <vt:lpstr>Ayuda!ANTICIPOAYUDA</vt:lpstr>
      <vt:lpstr>ANTICIPOAYUDA</vt:lpstr>
      <vt:lpstr>Ayuda!APORTEAYUDA</vt:lpstr>
      <vt:lpstr>Ayuda_Benef!APORTEAYUDA</vt:lpstr>
      <vt:lpstr>APORTEAYUDA</vt:lpstr>
      <vt:lpstr>'Beneficiarios de Pago'!Área_de_impresión</vt:lpstr>
      <vt:lpstr>'Ordenes de Pago'!Área_de_impresión</vt:lpstr>
      <vt:lpstr>'Resp_Beneficiarios de Pago'!Área_de_impresión</vt:lpstr>
      <vt:lpstr>'Resp_Ordenes de Pago'!Área_de_impresión</vt:lpstr>
      <vt:lpstr>Menu!Banco</vt:lpstr>
      <vt:lpstr>BANCOSB!Bancos</vt:lpstr>
      <vt:lpstr>Bancos</vt:lpstr>
      <vt:lpstr>Ayuda!DESINCORPAYUDA</vt:lpstr>
      <vt:lpstr>Ayuda_Benef!DESINCORPAYUDA</vt:lpstr>
      <vt:lpstr>DESINCORPAYUDA</vt:lpstr>
      <vt:lpstr>Ayuda!INCORPORACIONAYUDA</vt:lpstr>
      <vt:lpstr>Ayuda_Benef!INCORPORACIONAYUDA</vt:lpstr>
      <vt:lpstr>INCORPORACIONAYUDA</vt:lpstr>
      <vt:lpstr>Mod_bod</vt:lpstr>
      <vt:lpstr>Modalidad</vt:lpstr>
      <vt:lpstr>N_line</vt:lpstr>
      <vt:lpstr>Operacion</vt:lpstr>
      <vt:lpstr>Status_Benef</vt:lpstr>
      <vt:lpstr>T_Persona</vt:lpstr>
      <vt:lpstr>Tipo_Persona_encabezado</vt:lpstr>
    </vt:vector>
  </TitlesOfParts>
  <Company>Banco Occidental de Descuento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EN-CP-E-0036 SOLICITUD MASIVA DE ORDENES DE PAGOS</dc:title>
  <dc:creator>mleon</dc:creator>
  <cp:lastModifiedBy>DELL100</cp:lastModifiedBy>
  <cp:lastPrinted>2015-04-24T20:18:27Z</cp:lastPrinted>
  <dcterms:created xsi:type="dcterms:W3CDTF">2011-06-20T18:40:41Z</dcterms:created>
  <dcterms:modified xsi:type="dcterms:W3CDTF">2021-07-20T13:29:35Z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PSDescription">
    <vt:lpwstr>SOLICITUD MASIVA DE ORDENES DE PAGOS</vt:lpwstr>
  </property>
  <property fmtid="{D5CDD505-2E9C-101B-9397-08002B2CF9AE}" pid="3" name="Status">
    <vt:lpwstr>Final</vt:lpwstr>
  </property>
  <property fmtid="{D5CDD505-2E9C-101B-9397-08002B2CF9AE}" pid="4" name="CodigoDocumento">
    <vt:lpwstr>EN-CP-E-0036</vt:lpwstr>
  </property>
  <property fmtid="{D5CDD505-2E9C-101B-9397-08002B2CF9AE}" pid="5" name="Vigente a partir de">
    <vt:lpwstr>2013-10-22T23:30:00Z</vt:lpwstr>
  </property>
  <property fmtid="{D5CDD505-2E9C-101B-9397-08002B2CF9AE}" pid="6" name="FechaProxRevision">
    <vt:lpwstr>2019-02-21T00:00:00Z</vt:lpwstr>
  </property>
  <property fmtid="{D5CDD505-2E9C-101B-9397-08002B2CF9AE}" pid="7" name="Unidad Responsable">
    <vt:lpwstr>GERENCIA SERVICIOS EMPRESARIALES</vt:lpwstr>
  </property>
  <property fmtid="{D5CDD505-2E9C-101B-9397-08002B2CF9AE}" pid="8" name="TipoDocumento">
    <vt:lpwstr>Formulario</vt:lpwstr>
  </property>
  <property fmtid="{D5CDD505-2E9C-101B-9397-08002B2CF9AE}" pid="9" name="DocumentosRelacionados">
    <vt:lpwstr>018 Sistema Integral de Pagos (SIP)_x000d_
018-01 Afiliación al Servicio de Pago a Proveedores y Pago de Nómina en SIP_x000d_
C201208110 Servicio Pago Proveedores y Pago Nomina mediante Sistema Integral de Pago (SIP)</vt:lpwstr>
  </property>
  <property fmtid="{D5CDD505-2E9C-101B-9397-08002B2CF9AE}" pid="10" name="MailNotification">
    <vt:lpwstr>0</vt:lpwstr>
  </property>
  <property fmtid="{D5CDD505-2E9C-101B-9397-08002B2CF9AE}" pid="11" name="Aprobadores (Cargo)">
    <vt:lpwstr>GCIA.SEGMENTOS PERSONAS JURIDICAS</vt:lpwstr>
  </property>
  <property fmtid="{D5CDD505-2E9C-101B-9397-08002B2CF9AE}" pid="12" name="Aprobadores">
    <vt:lpwstr>4592;#BODCOMVE\dsubero</vt:lpwstr>
  </property>
  <property fmtid="{D5CDD505-2E9C-101B-9397-08002B2CF9AE}" pid="13" name="Edicion">
    <vt:lpwstr/>
  </property>
  <property fmtid="{D5CDD505-2E9C-101B-9397-08002B2CF9AE}" pid="14" name="RevisoresCargo">
    <vt:lpwstr>GERENTE DE SERVICIOS EMPRESARIALES</vt:lpwstr>
  </property>
  <property fmtid="{D5CDD505-2E9C-101B-9397-08002B2CF9AE}" pid="15" name="Revisores">
    <vt:lpwstr/>
  </property>
  <property fmtid="{D5CDD505-2E9C-101B-9397-08002B2CF9AE}" pid="16" name="Regulacion0">
    <vt:lpwstr/>
  </property>
  <property fmtid="{D5CDD505-2E9C-101B-9397-08002B2CF9AE}" pid="17" name="Formularios/Registros Involucrados">
    <vt:lpwstr/>
  </property>
  <property fmtid="{D5CDD505-2E9C-101B-9397-08002B2CF9AE}" pid="18" name="estatusDocumentos">
    <vt:lpwstr>Publicado</vt:lpwstr>
  </property>
  <property fmtid="{D5CDD505-2E9C-101B-9397-08002B2CF9AE}" pid="19" name="FechaPublicacion">
    <vt:lpwstr>2017-02-21T04:30:00Z</vt:lpwstr>
  </property>
  <property fmtid="{D5CDD505-2E9C-101B-9397-08002B2CF9AE}" pid="20" name="RevisoresEnDesarrollo">
    <vt:lpwstr/>
  </property>
  <property fmtid="{D5CDD505-2E9C-101B-9397-08002B2CF9AE}" pid="21" name="RubroFormulario">
    <vt:lpwstr>61</vt:lpwstr>
  </property>
  <property fmtid="{D5CDD505-2E9C-101B-9397-08002B2CF9AE}" pid="22" name="Order">
    <vt:lpwstr>41100.0000000000</vt:lpwstr>
  </property>
  <property fmtid="{D5CDD505-2E9C-101B-9397-08002B2CF9AE}" pid="23" name="EstatusDocPublicados">
    <vt:lpwstr>Vigente - Actualizado</vt:lpwstr>
  </property>
  <property fmtid="{D5CDD505-2E9C-101B-9397-08002B2CF9AE}" pid="24" name="PE">
    <vt:lpwstr>no</vt:lpwstr>
  </property>
  <property fmtid="{D5CDD505-2E9C-101B-9397-08002B2CF9AE}" pid="25" name="usuarios">
    <vt:lpwstr/>
  </property>
  <property fmtid="{D5CDD505-2E9C-101B-9397-08002B2CF9AE}" pid="26" name="SubRubroForm">
    <vt:lpwstr>0</vt:lpwstr>
  </property>
  <property fmtid="{D5CDD505-2E9C-101B-9397-08002B2CF9AE}" pid="27" name="Notificación Vencimiento Enviada">
    <vt:lpwstr>Una Semana</vt:lpwstr>
  </property>
  <property fmtid="{D5CDD505-2E9C-101B-9397-08002B2CF9AE}" pid="28" name="SolicitudForm">
    <vt:lpwstr/>
  </property>
  <property fmtid="{D5CDD505-2E9C-101B-9397-08002B2CF9AE}" pid="29" name="TipoPublicacion">
    <vt:lpwstr>Acceso Público</vt:lpwstr>
  </property>
  <property fmtid="{D5CDD505-2E9C-101B-9397-08002B2CF9AE}" pid="30" name="NoSolicitudForm">
    <vt:lpwstr>1052</vt:lpwstr>
  </property>
  <property fmtid="{D5CDD505-2E9C-101B-9397-08002B2CF9AE}" pid="31" name="Coordinador">
    <vt:lpwstr/>
  </property>
  <property fmtid="{D5CDD505-2E9C-101B-9397-08002B2CF9AE}" pid="32" name="Uso de la Información">
    <vt:lpwstr>Pública</vt:lpwstr>
  </property>
  <property fmtid="{D5CDD505-2E9C-101B-9397-08002B2CF9AE}" pid="33" name="SubRubroTxt">
    <vt:lpwstr/>
  </property>
  <property fmtid="{D5CDD505-2E9C-101B-9397-08002B2CF9AE}" pid="34" name="Centros de Costo">
    <vt:lpwstr>00001454;</vt:lpwstr>
  </property>
  <property fmtid="{D5CDD505-2E9C-101B-9397-08002B2CF9AE}" pid="35" name="CodReferencia">
    <vt:lpwstr/>
  </property>
  <property fmtid="{D5CDD505-2E9C-101B-9397-08002B2CF9AE}" pid="36" name="Rubro">
    <vt:lpwstr/>
  </property>
  <property fmtid="{D5CDD505-2E9C-101B-9397-08002B2CF9AE}" pid="37" name="FieldName_A7A705DE_81B2_4D0D_818C_290B142A7057_">
    <vt:lpwstr>Alta</vt:lpwstr>
  </property>
  <property fmtid="{D5CDD505-2E9C-101B-9397-08002B2CF9AE}" pid="38" name="SolicitudAsociadaForm">
    <vt:lpwstr>0</vt:lpwstr>
  </property>
  <property fmtid="{D5CDD505-2E9C-101B-9397-08002B2CF9AE}" pid="39" name="FechaVigencia">
    <vt:lpwstr>2017-02-21T00:00:00Z</vt:lpwstr>
  </property>
  <property fmtid="{D5CDD505-2E9C-101B-9397-08002B2CF9AE}" pid="40" name="Regulacion">
    <vt:lpwstr/>
  </property>
  <property fmtid="{D5CDD505-2E9C-101B-9397-08002B2CF9AE}" pid="41" name="display_urn:schemas-microsoft-com:office:office#Asignado">
    <vt:lpwstr>Brenda C. Briceño</vt:lpwstr>
  </property>
  <property fmtid="{D5CDD505-2E9C-101B-9397-08002B2CF9AE}" pid="42" name="Asignado">
    <vt:lpwstr>96</vt:lpwstr>
  </property>
  <property fmtid="{D5CDD505-2E9C-101B-9397-08002B2CF9AE}" pid="43" name="display_urn:schemas-microsoft-com:office:office#CoordinadroGrupo">
    <vt:lpwstr>Maria Duran</vt:lpwstr>
  </property>
  <property fmtid="{D5CDD505-2E9C-101B-9397-08002B2CF9AE}" pid="44" name="CoordinadroGrupo">
    <vt:lpwstr>8230</vt:lpwstr>
  </property>
  <property fmtid="{D5CDD505-2E9C-101B-9397-08002B2CF9AE}" pid="45" name="NivelComplejidad1">
    <vt:lpwstr>Alta</vt:lpwstr>
  </property>
  <property fmtid="{D5CDD505-2E9C-101B-9397-08002B2CF9AE}" pid="46" name="DueDateRevI">
    <vt:lpwstr/>
  </property>
  <property fmtid="{D5CDD505-2E9C-101B-9397-08002B2CF9AE}" pid="47" name="SubRubro 1">
    <vt:lpwstr/>
  </property>
  <property fmtid="{D5CDD505-2E9C-101B-9397-08002B2CF9AE}" pid="48" name="TaxCatchAll">
    <vt:lpwstr/>
  </property>
  <property fmtid="{D5CDD505-2E9C-101B-9397-08002B2CF9AE}" pid="49" name="MnyPDerogar">
    <vt:lpwstr/>
  </property>
  <property fmtid="{D5CDD505-2E9C-101B-9397-08002B2CF9AE}" pid="50" name="DueDateRevE">
    <vt:lpwstr/>
  </property>
  <property fmtid="{D5CDD505-2E9C-101B-9397-08002B2CF9AE}" pid="51" name="DueDateAprob">
    <vt:lpwstr/>
  </property>
  <property fmtid="{D5CDD505-2E9C-101B-9397-08002B2CF9AE}" pid="52" name="Actualizar">
    <vt:lpwstr>No</vt:lpwstr>
  </property>
  <property fmtid="{D5CDD505-2E9C-101B-9397-08002B2CF9AE}" pid="53" name="MOrgDerogar">
    <vt:lpwstr/>
  </property>
  <property fmtid="{D5CDD505-2E9C-101B-9397-08002B2CF9AE}" pid="54" name="FormDerogar">
    <vt:lpwstr>No Aplica;EN-CP-E-0036 SOLICITUD MASIVA DE ORDENES DE PAGOS</vt:lpwstr>
  </property>
  <property fmtid="{D5CDD505-2E9C-101B-9397-08002B2CF9AE}" pid="55" name="CirDerogar">
    <vt:lpwstr/>
  </property>
  <property fmtid="{D5CDD505-2E9C-101B-9397-08002B2CF9AE}" pid="56" name="GdADerogar">
    <vt:lpwstr/>
  </property>
  <property fmtid="{D5CDD505-2E9C-101B-9397-08002B2CF9AE}" pid="57" name="ComentarioPublicacion">
    <vt:lpwstr/>
  </property>
  <property fmtid="{D5CDD505-2E9C-101B-9397-08002B2CF9AE}" pid="58" name="DueDateRev">
    <vt:lpwstr/>
  </property>
  <property fmtid="{D5CDD505-2E9C-101B-9397-08002B2CF9AE}" pid="59" name="Rubrotxt">
    <vt:lpwstr/>
  </property>
  <property fmtid="{D5CDD505-2E9C-101B-9397-08002B2CF9AE}" pid="60" name="MUDerogar">
    <vt:lpwstr/>
  </property>
  <property fmtid="{D5CDD505-2E9C-101B-9397-08002B2CF9AE}" pid="61" name="WorkflowCreationPath">
    <vt:lpwstr>aa72e77e-e9de-4321-8110-fa34fa94b01d,48;aa72e77e-e9de-4321-8110-fa34fa94b01d,55;ba409635-4a99-4154-ae7b-8054a4c58357,57;ba409635-4a99-4154-ae7b-8054a4c58357,57;ba409635-4a99-4154-ae7b-8054a4c58357,81;145be24f-45a9-4c49-8b3d-f45895ff95f8,83;aa72e77e-e9de-4</vt:lpwstr>
  </property>
  <property fmtid="{D5CDD505-2E9C-101B-9397-08002B2CF9AE}" pid="62" name="display_urn:schemas-microsoft-com:office:office#Aprobadores">
    <vt:lpwstr>David F. Subero</vt:lpwstr>
  </property>
  <property fmtid="{D5CDD505-2E9C-101B-9397-08002B2CF9AE}" pid="63" name="Sub Rubro 1">
    <vt:lpwstr/>
  </property>
</Properties>
</file>